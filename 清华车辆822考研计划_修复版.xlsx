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阶段导航" sheetId="1" state="visible" r:id="rId1"/>
    <sheet name="03_周阶梯导航" sheetId="2" state="visible" r:id="rId2"/>
    <sheet name="04_月度规划总表" sheetId="3" state="visible" r:id="rId3"/>
    <sheet name="05_课表适配" sheetId="4" state="visible" r:id="rId4"/>
    <sheet name="06_周复盘打卡" sheetId="5" state="visible" r:id="rId5"/>
    <sheet name="07_执行规则" sheetId="6" state="visible" r:id="rId6"/>
    <sheet name="09_复试附表" sheetId="7" state="visible" r:id="rId7"/>
    <sheet name="99_旧稿归档" sheetId="8" state="visible" r:id="rId8"/>
    <sheet name="02_每日时间表" sheetId="9" state="visible" r:id="rId9"/>
    <sheet name="08_822题型矩阵" sheetId="10" state="visible" r:id="rId10"/>
    <sheet name="10_详细周计划" sheetId="11" state="visible" r:id="rId11"/>
    <sheet name="11_详细月计划" sheetId="12" state="visible" r:id="rId12"/>
    <sheet name="00_原始大纲归档" sheetId="13" state="visible" r:id="rId13"/>
    <sheet name="12_使用方法" sheetId="14" state="visible" r:id="rId14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rlito"/>
      <sz val="11"/>
    </font>
    <font>
      <name val="仿宋"/>
      <b val="1"/>
      <color rgb="FF203040"/>
      <sz val="10"/>
    </font>
    <font>
      <name val="仿宋"/>
      <color rgb="FF203040"/>
      <sz val="10"/>
    </font>
    <font>
      <name val="仿宋"/>
      <b val="1"/>
      <color rgb="FFFFFFFF"/>
      <sz val="14"/>
    </font>
    <font>
      <name val="仿宋"/>
      <b val="1"/>
      <color rgb="FFFFFFFF"/>
      <sz val="11"/>
    </font>
    <font>
      <name val="仿宋"/>
      <sz val="11"/>
    </font>
    <font>
      <name val="Carlito"/>
      <sz val="11"/>
    </font>
    <font>
      <name val="FangSong"/>
      <sz val="9"/>
    </font>
    <font>
      <name val="FangSong"/>
      <sz val="11"/>
    </font>
    <font>
      <name val="仿宋"/>
      <color rgb="FF203040"/>
      <sz val="10"/>
    </font>
    <font>
      <name val="仿宋"/>
      <color rgb="FF5D4037"/>
      <sz val="10"/>
    </font>
    <font>
      <name val="仿宋"/>
      <b val="1"/>
      <color rgb="FF5D4037"/>
      <sz val="11"/>
    </font>
    <font>
      <name val="仿宋"/>
      <b val="1"/>
      <color rgb="FF8A1C1C"/>
      <sz val="12"/>
    </font>
  </fonts>
  <fills count="28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2D6A9F"/>
      </patternFill>
    </fill>
    <fill>
      <patternFill patternType="solid">
        <fgColor rgb="FF2A9D8F"/>
      </patternFill>
    </fill>
    <fill>
      <patternFill patternType="solid">
        <fgColor rgb="FF16324F"/>
      </patternFill>
    </fill>
    <fill>
      <patternFill patternType="solid">
        <fgColor rgb="FF2D6A9F"/>
      </patternFill>
    </fill>
    <fill>
      <patternFill patternType="solid">
        <fgColor rgb="FFE8F5E9"/>
      </patternFill>
    </fill>
    <fill>
      <patternFill patternType="solid">
        <fgColor rgb="FF16324F"/>
      </patternFill>
    </fill>
    <fill>
      <patternFill patternType="solid">
        <fgColor rgb="FF2D6A9F"/>
      </patternFill>
    </fill>
    <fill>
      <patternFill patternType="solid">
        <fgColor rgb="FFE8F5E9"/>
      </patternFill>
    </fill>
    <fill>
      <patternFill patternType="solid">
        <fgColor rgb="FF6C5CE7"/>
      </patternFill>
    </fill>
    <fill>
      <patternFill patternType="solid">
        <fgColor rgb="FF16324F"/>
      </patternFill>
    </fill>
    <fill>
      <patternFill patternType="solid">
        <fgColor rgb="FF2D6A9F"/>
      </patternFill>
    </fill>
    <fill>
      <patternFill patternType="solid">
        <fgColor rgb="FF16324F"/>
      </patternFill>
    </fill>
    <fill>
      <patternFill patternType="solid">
        <fgColor rgb="FF2D6A9F"/>
      </patternFill>
    </fill>
    <fill>
      <patternFill patternType="solid">
        <fgColor rgb="FF16324F"/>
      </patternFill>
    </fill>
    <fill>
      <patternFill patternType="solid">
        <fgColor rgb="FF2D6A9F"/>
      </patternFill>
    </fill>
    <fill>
      <patternFill patternType="solid">
        <fgColor rgb="FF16324F"/>
      </patternFill>
    </fill>
    <fill>
      <patternFill patternType="solid">
        <fgColor rgb="FFFFF8E1"/>
      </patternFill>
    </fill>
    <fill>
      <patternFill patternType="solid">
        <fgColor rgb="FF2D6A9F"/>
      </patternFill>
    </fill>
    <fill>
      <patternFill patternType="solid">
        <fgColor rgb="FFFDECEA"/>
      </patternFill>
    </fill>
    <fill>
      <patternFill patternType="solid">
        <fgColor rgb="FF16324F"/>
      </patternFill>
    </fill>
    <fill>
      <patternFill patternType="solid">
        <fgColor rgb="FFFFF8E1"/>
      </patternFill>
    </fill>
    <fill>
      <patternFill patternType="solid">
        <fgColor rgb="FF2D6A9F"/>
      </patternFill>
    </fill>
    <fill>
      <patternFill patternType="solid">
        <fgColor rgb="FF16324F"/>
      </patternFill>
    </fill>
    <fill>
      <patternFill patternType="solid">
        <fgColor rgb="FFFFF8E1"/>
      </patternFill>
    </fill>
    <fill>
      <patternFill patternType="solid">
        <fgColor rgb="FF2D6A9F"/>
      </patternFill>
    </fill>
  </fills>
  <borders count="12">
    <border/>
    <border>
      <right style="thin">
        <color rgb="FFD5DEE8"/>
      </right>
      <bottom style="thin">
        <color rgb="FFD5DEE8"/>
      </bottom>
    </border>
    <border>
      <left style="thin">
        <color rgb="FFD5DEE8"/>
      </left>
      <right style="thin">
        <color rgb="FFD5DEE8"/>
      </right>
      <bottom style="thin">
        <color rgb="FFD5DEE8"/>
      </bottom>
    </border>
    <border>
      <left style="thin">
        <color rgb="FFD5DEE8"/>
      </left>
      <bottom style="thin">
        <color rgb="FFD5DEE8"/>
      </bottom>
    </border>
    <border>
      <right style="thin">
        <color rgb="FFD5DEE8"/>
      </right>
      <top style="thin">
        <color rgb="FFD5DEE8"/>
      </top>
      <bottom style="thin">
        <color rgb="FFD5DEE8"/>
      </bottom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</border>
    <border>
      <left style="thin">
        <color rgb="FFD5DEE8"/>
      </left>
      <top style="thin">
        <color rgb="FFD5DEE8"/>
      </top>
      <bottom style="thin">
        <color rgb="FFD5DEE8"/>
      </bottom>
    </border>
    <border>
      <right style="thin">
        <color rgb="FFD5DEE8"/>
      </right>
      <top style="thin">
        <color rgb="FFD5DEE8"/>
      </top>
    </border>
    <border>
      <left style="thin">
        <color rgb="FFD5DEE8"/>
      </left>
      <right style="thin">
        <color rgb="FFD5DEE8"/>
      </right>
      <top style="thin">
        <color rgb="FFD5DEE8"/>
      </top>
    </border>
    <border>
      <left style="thin">
        <color rgb="FFD5DEE8"/>
      </left>
      <top style="thin">
        <color rgb="FFD5DEE8"/>
      </top>
    </border>
    <border>
      <right style="thin">
        <color rgb="FFD5DEE8"/>
      </right>
    </border>
    <border>
      <left style="thin">
        <color rgb="FFD5DEE8"/>
      </left>
    </border>
  </borders>
  <cellStyleXfs count="2">
    <xf numFmtId="0" fontId="6" fillId="0" borderId="0"/>
    <xf numFmtId="0" fontId="6" fillId="0" borderId="0"/>
  </cellStyleXfs>
  <cellXfs count="228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 wrapText="1"/>
    </xf>
    <xf numFmtId="0" fontId="1" fillId="3" borderId="2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2" fillId="0" borderId="4" applyAlignment="1" pivotButton="0" quotePrefix="0" xfId="1">
      <alignment vertical="center" wrapText="1"/>
    </xf>
    <xf numFmtId="0" fontId="2" fillId="0" borderId="5" applyAlignment="1" pivotButton="0" quotePrefix="0" xfId="1">
      <alignment vertical="center" wrapText="1"/>
    </xf>
    <xf numFmtId="0" fontId="2" fillId="0" borderId="6" applyAlignment="1" pivotButton="0" quotePrefix="0" xfId="1">
      <alignment vertical="center" wrapText="1"/>
    </xf>
    <xf numFmtId="0" fontId="2" fillId="0" borderId="7" applyAlignment="1" pivotButton="0" quotePrefix="0" xfId="1">
      <alignment vertical="center" wrapText="1"/>
    </xf>
    <xf numFmtId="0" fontId="2" fillId="0" borderId="8" applyAlignment="1" pivotButton="0" quotePrefix="0" xfId="1">
      <alignment vertical="center" wrapText="1"/>
    </xf>
    <xf numFmtId="0" fontId="2" fillId="0" borderId="9" applyAlignment="1" pivotButton="0" quotePrefix="0" xfId="1">
      <alignment vertical="center" wrapText="1"/>
    </xf>
    <xf numFmtId="9" fontId="2" fillId="0" borderId="5" applyAlignment="1" pivotButton="0" quotePrefix="0" xfId="1">
      <alignment vertical="center" wrapText="1"/>
    </xf>
    <xf numFmtId="164" fontId="2" fillId="0" borderId="5" applyAlignment="1" pivotButton="0" quotePrefix="0" xfId="1">
      <alignment vertical="center" wrapText="1"/>
    </xf>
    <xf numFmtId="9" fontId="2" fillId="0" borderId="8" applyAlignment="1" pivotButton="0" quotePrefix="0" xfId="1">
      <alignment vertical="center" wrapText="1"/>
    </xf>
    <xf numFmtId="164" fontId="2" fillId="0" borderId="8" applyAlignment="1" pivotButton="0" quotePrefix="0" xfId="1">
      <alignment vertical="center" wrapText="1"/>
    </xf>
    <xf numFmtId="0" fontId="4" fillId="6" borderId="0" applyAlignment="1" pivotButton="0" quotePrefix="0" xfId="1">
      <alignment horizontal="center" vertical="center" wrapText="1"/>
    </xf>
    <xf numFmtId="0" fontId="2" fillId="0" borderId="1" applyAlignment="1" pivotButton="0" quotePrefix="0" xfId="1">
      <alignment vertical="center" wrapText="1"/>
    </xf>
    <xf numFmtId="0" fontId="2" fillId="0" borderId="2" applyAlignment="1" pivotButton="0" quotePrefix="0" xfId="1">
      <alignment vertical="center" wrapText="1"/>
    </xf>
    <xf numFmtId="0" fontId="2" fillId="0" borderId="3" applyAlignment="1" pivotButton="0" quotePrefix="0" xfId="1">
      <alignment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6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5" fillId="0" borderId="0" pivotButton="0" quotePrefix="0" xfId="1"/>
    <xf numFmtId="0" fontId="4" fillId="9" borderId="1" applyAlignment="1" pivotButton="0" quotePrefix="0" xfId="1">
      <alignment horizontal="center" vertical="center" wrapText="1"/>
    </xf>
    <xf numFmtId="0" fontId="4" fillId="9" borderId="2" applyAlignment="1" pivotButton="0" quotePrefix="0" xfId="1">
      <alignment horizontal="center" vertical="center" wrapText="1"/>
    </xf>
    <xf numFmtId="0" fontId="4" fillId="9" borderId="3" applyAlignment="1" pivotButton="0" quotePrefix="0" xfId="1">
      <alignment horizontal="center" vertical="center" wrapText="1"/>
    </xf>
    <xf numFmtId="0" fontId="4" fillId="11" borderId="1" applyAlignment="1" pivotButton="0" quotePrefix="0" xfId="1">
      <alignment horizontal="center" wrapText="1"/>
    </xf>
    <xf numFmtId="0" fontId="4" fillId="11" borderId="2" applyAlignment="1" pivotButton="0" quotePrefix="0" xfId="1">
      <alignment horizontal="center" wrapText="1"/>
    </xf>
    <xf numFmtId="0" fontId="4" fillId="11" borderId="3" applyAlignment="1" pivotButton="0" quotePrefix="0" xfId="1">
      <alignment horizontal="center" wrapText="1"/>
    </xf>
    <xf numFmtId="0" fontId="4" fillId="9" borderId="1" applyAlignment="1" pivotButton="0" quotePrefix="0" xfId="1">
      <alignment horizontal="center" wrapText="1"/>
    </xf>
    <xf numFmtId="0" fontId="4" fillId="9" borderId="2" applyAlignment="1" pivotButton="0" quotePrefix="0" xfId="1">
      <alignment horizontal="center" wrapText="1"/>
    </xf>
    <xf numFmtId="0" fontId="4" fillId="9" borderId="3" applyAlignment="1" pivotButton="0" quotePrefix="0" xfId="1">
      <alignment horizontal="center" wrapText="1"/>
    </xf>
    <xf numFmtId="0" fontId="1" fillId="2" borderId="0" applyAlignment="1" pivotButton="0" quotePrefix="0" xfId="1">
      <alignment horizontal="center" vertical="center" wrapText="1"/>
    </xf>
    <xf numFmtId="0" fontId="1" fillId="4" borderId="1" applyAlignment="1" pivotButton="0" quotePrefix="0" xfId="1">
      <alignment horizontal="center" vertical="center" wrapText="1"/>
    </xf>
    <xf numFmtId="0" fontId="1" fillId="4" borderId="2" applyAlignment="1" pivotButton="0" quotePrefix="0" xfId="1">
      <alignment horizontal="center" vertical="center" wrapText="1"/>
    </xf>
    <xf numFmtId="0" fontId="1" fillId="4" borderId="3" applyAlignment="1" pivotButton="0" quotePrefix="0" xfId="1">
      <alignment horizontal="center" vertical="center" wrapText="1"/>
    </xf>
    <xf numFmtId="0" fontId="2" fillId="0" borderId="5" applyAlignment="1" pivotButton="0" quotePrefix="0" xfId="1">
      <alignment vertical="center" wrapText="1"/>
    </xf>
    <xf numFmtId="0" fontId="2" fillId="0" borderId="6" applyAlignment="1" pivotButton="0" quotePrefix="0" xfId="1">
      <alignment vertical="center" wrapText="1"/>
    </xf>
    <xf numFmtId="0" fontId="2" fillId="0" borderId="8" applyAlignment="1" pivotButton="0" quotePrefix="0" xfId="1">
      <alignment vertical="center" wrapText="1"/>
    </xf>
    <xf numFmtId="0" fontId="2" fillId="0" borderId="9" applyAlignment="1" pivotButton="0" quotePrefix="0" xfId="1">
      <alignment vertical="center" wrapText="1"/>
    </xf>
    <xf numFmtId="0" fontId="3" fillId="5" borderId="0" applyAlignment="1" pivotButton="0" quotePrefix="0" xfId="1">
      <alignment horizontal="center" vertical="center"/>
    </xf>
    <xf numFmtId="0" fontId="2" fillId="7" borderId="0" applyAlignment="1" pivotButton="0" quotePrefix="0" xfId="1">
      <alignment wrapText="1"/>
    </xf>
    <xf numFmtId="0" fontId="3" fillId="8" borderId="0" applyAlignment="1" pivotButton="0" quotePrefix="0" xfId="1">
      <alignment horizontal="center"/>
    </xf>
    <xf numFmtId="0" fontId="2" fillId="10" borderId="0" applyAlignment="1" pivotButton="0" quotePrefix="0" xfId="1">
      <alignment vertical="center" wrapText="1"/>
    </xf>
    <xf numFmtId="0" fontId="8" fillId="0" borderId="0" pivotButton="0" quotePrefix="0" xfId="0"/>
    <xf numFmtId="0" fontId="0" fillId="12" borderId="0" pivotButton="0" quotePrefix="0" xfId="0"/>
    <xf numFmtId="0" fontId="3" fillId="12" borderId="0" pivotButton="0" quotePrefix="0" xfId="0"/>
    <xf numFmtId="0" fontId="3" fillId="12" borderId="0" applyAlignment="1" pivotButton="0" quotePrefix="0" xfId="0">
      <alignment horizontal="center"/>
    </xf>
    <xf numFmtId="0" fontId="3" fillId="12" borderId="0" applyAlignment="1" pivotButton="0" quotePrefix="0" xfId="0">
      <alignment horizontal="center" vertical="center"/>
    </xf>
    <xf numFmtId="0" fontId="0" fillId="13" borderId="0" pivotButton="0" quotePrefix="0" xfId="0"/>
    <xf numFmtId="0" fontId="4" fillId="13" borderId="0" pivotButton="0" quotePrefix="0" xfId="0"/>
    <xf numFmtId="0" fontId="4" fillId="13" borderId="0" applyAlignment="1" pivotButton="0" quotePrefix="0" xfId="0">
      <alignment wrapText="1"/>
    </xf>
    <xf numFmtId="0" fontId="4" fillId="13" borderId="0" applyAlignment="1" pivotButton="0" quotePrefix="0" xfId="0">
      <alignment horizontal="center" wrapText="1"/>
    </xf>
    <xf numFmtId="0" fontId="4" fillId="1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3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2" fillId="0" borderId="7" applyAlignment="1" pivotButton="0" quotePrefix="0" xfId="0">
      <alignment vertical="top" wrapText="1"/>
    </xf>
    <xf numFmtId="0" fontId="2" fillId="0" borderId="8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0" fillId="14" borderId="0" pivotButton="0" quotePrefix="0" xfId="0"/>
    <xf numFmtId="0" fontId="4" fillId="14" borderId="0" pivotButton="0" quotePrefix="0" xfId="0"/>
    <xf numFmtId="0" fontId="4" fillId="14" borderId="0" applyAlignment="1" pivotButton="0" quotePrefix="0" xfId="0">
      <alignment wrapText="1"/>
    </xf>
    <xf numFmtId="0" fontId="4" fillId="14" borderId="0" applyAlignment="1" pivotButton="0" quotePrefix="0" xfId="0">
      <alignment vertical="center" wrapText="1"/>
    </xf>
    <xf numFmtId="0" fontId="0" fillId="15" borderId="0" pivotButton="0" quotePrefix="0" xfId="0"/>
    <xf numFmtId="0" fontId="4" fillId="15" borderId="0" pivotButton="0" quotePrefix="0" xfId="0"/>
    <xf numFmtId="0" fontId="4" fillId="15" borderId="0" applyAlignment="1" pivotButton="0" quotePrefix="0" xfId="0">
      <alignment wrapText="1"/>
    </xf>
    <xf numFmtId="0" fontId="4" fillId="15" borderId="0" applyAlignment="1" pivotButton="0" quotePrefix="0" xfId="0">
      <alignment vertical="center" wrapText="1"/>
    </xf>
    <xf numFmtId="0" fontId="0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5" borderId="3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0" fontId="9" fillId="0" borderId="5" applyAlignment="1" pivotButton="0" quotePrefix="0" xfId="0">
      <alignment vertical="center" wrapText="1"/>
    </xf>
    <xf numFmtId="0" fontId="9" fillId="0" borderId="6" applyAlignment="1" pivotButton="0" quotePrefix="0" xfId="0">
      <alignment vertical="center" wrapText="1"/>
    </xf>
    <xf numFmtId="0" fontId="9" fillId="0" borderId="7" applyAlignment="1" pivotButton="0" quotePrefix="0" xfId="0">
      <alignment vertical="center" wrapText="1"/>
    </xf>
    <xf numFmtId="0" fontId="9" fillId="0" borderId="8" applyAlignment="1" pivotButton="0" quotePrefix="0" xfId="0">
      <alignment vertical="center" wrapText="1"/>
    </xf>
    <xf numFmtId="0" fontId="9" fillId="0" borderId="9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7" borderId="0" applyAlignment="1" pivotButton="0" quotePrefix="0" xfId="0">
      <alignment wrapText="1"/>
    </xf>
    <xf numFmtId="9" fontId="2" fillId="0" borderId="5" applyAlignment="1" pivotButton="0" quotePrefix="0" xfId="0">
      <alignment vertical="center" wrapText="1"/>
    </xf>
    <xf numFmtId="164" fontId="2" fillId="0" borderId="5" applyAlignment="1" pivotButton="0" quotePrefix="0" xfId="0">
      <alignment vertical="center" wrapText="1"/>
    </xf>
    <xf numFmtId="9" fontId="2" fillId="0" borderId="8" applyAlignment="1" pivotButton="0" quotePrefix="0" xfId="0">
      <alignment vertical="center" wrapText="1"/>
    </xf>
    <xf numFmtId="164" fontId="2" fillId="0" borderId="8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2" fillId="7" borderId="0" applyAlignment="1" pivotButton="0" quotePrefix="0" xfId="0">
      <alignment vertical="center" wrapText="1"/>
    </xf>
    <xf numFmtId="0" fontId="4" fillId="11" borderId="1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11" borderId="3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4" fillId="3" borderId="2" applyAlignment="1" pivotButton="0" quotePrefix="0" xfId="0">
      <alignment horizontal="center" wrapText="1"/>
    </xf>
    <xf numFmtId="0" fontId="4" fillId="3" borderId="3" applyAlignment="1" pivotButton="0" quotePrefix="0" xfId="0">
      <alignment horizont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0" fillId="17" borderId="0" pivotButton="0" quotePrefix="0" xfId="0"/>
    <xf numFmtId="0" fontId="4" fillId="17" borderId="0" pivotButton="0" quotePrefix="0" xfId="0"/>
    <xf numFmtId="0" fontId="4" fillId="17" borderId="0" applyAlignment="1" pivotButton="0" quotePrefix="0" xfId="0">
      <alignment wrapText="1"/>
    </xf>
    <xf numFmtId="0" fontId="4" fillId="17" borderId="0" applyAlignment="1" pivotButton="0" quotePrefix="0" xfId="0">
      <alignment horizontal="center" wrapText="1"/>
    </xf>
    <xf numFmtId="0" fontId="4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4" fillId="17" borderId="3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4" fillId="3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0" fillId="18" borderId="0" pivotButton="0" quotePrefix="0" xfId="0"/>
    <xf numFmtId="0" fontId="3" fillId="18" borderId="0" pivotButton="0" quotePrefix="0" xfId="0"/>
    <xf numFmtId="0" fontId="3" fillId="18" borderId="0" applyAlignment="1" pivotButton="0" quotePrefix="0" xfId="0">
      <alignment wrapText="1"/>
    </xf>
    <xf numFmtId="0" fontId="3" fillId="18" borderId="0" applyAlignment="1" pivotButton="0" quotePrefix="0" xfId="0">
      <alignment horizontal="center" wrapText="1"/>
    </xf>
    <xf numFmtId="0" fontId="3" fillId="18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10" fillId="19" borderId="0" pivotButton="0" quotePrefix="0" xfId="0"/>
    <xf numFmtId="0" fontId="10" fillId="19" borderId="0" applyAlignment="1" pivotButton="0" quotePrefix="0" xfId="0">
      <alignment wrapText="1"/>
    </xf>
    <xf numFmtId="0" fontId="10" fillId="19" borderId="0" applyAlignment="1" pivotButton="0" quotePrefix="0" xfId="0">
      <alignment vertical="center" wrapText="1"/>
    </xf>
    <xf numFmtId="0" fontId="0" fillId="20" borderId="0" pivotButton="0" quotePrefix="0" xfId="0"/>
    <xf numFmtId="0" fontId="4" fillId="20" borderId="0" pivotButton="0" quotePrefix="0" xfId="0"/>
    <xf numFmtId="0" fontId="4" fillId="20" borderId="0" applyAlignment="1" pivotButton="0" quotePrefix="0" xfId="0">
      <alignment wrapText="1"/>
    </xf>
    <xf numFmtId="0" fontId="4" fillId="20" borderId="0" applyAlignment="1" pivotButton="0" quotePrefix="0" xfId="0">
      <alignment horizontal="center" wrapText="1"/>
    </xf>
    <xf numFmtId="0" fontId="4" fillId="20" borderId="0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20" borderId="3" applyAlignment="1" pivotButton="0" quotePrefix="0" xfId="0">
      <alignment horizontal="center" vertical="center" wrapText="1"/>
    </xf>
    <xf numFmtId="9" fontId="2" fillId="0" borderId="5" applyAlignment="1" pivotButton="0" quotePrefix="0" xfId="0">
      <alignment vertical="center" wrapText="1"/>
    </xf>
    <xf numFmtId="9" fontId="2" fillId="0" borderId="8" applyAlignment="1" pivotButton="0" quotePrefix="0" xfId="0">
      <alignment vertical="center" wrapText="1"/>
    </xf>
    <xf numFmtId="0" fontId="11" fillId="19" borderId="0" pivotButton="0" quotePrefix="0" xfId="0"/>
    <xf numFmtId="0" fontId="11" fillId="19" borderId="0" applyAlignment="1" pivotButton="0" quotePrefix="0" xfId="0">
      <alignment wrapText="1"/>
    </xf>
    <xf numFmtId="0" fontId="11" fillId="19" borderId="0" applyAlignment="1" pivotButton="0" quotePrefix="0" xfId="0">
      <alignment vertical="center" wrapText="1"/>
    </xf>
    <xf numFmtId="0" fontId="2" fillId="19" borderId="7" applyAlignment="1" pivotButton="0" quotePrefix="0" xfId="0">
      <alignment vertical="center" wrapText="1"/>
    </xf>
    <xf numFmtId="0" fontId="2" fillId="19" borderId="8" applyAlignment="1" pivotButton="0" quotePrefix="0" xfId="0">
      <alignment vertical="center" wrapText="1"/>
    </xf>
    <xf numFmtId="0" fontId="2" fillId="19" borderId="9" applyAlignment="1" pivotButton="0" quotePrefix="0" xfId="0">
      <alignment vertical="center" wrapText="1"/>
    </xf>
    <xf numFmtId="0" fontId="10" fillId="19" borderId="7" applyAlignment="1" pivotButton="0" quotePrefix="0" xfId="0">
      <alignment vertical="center" wrapText="1"/>
    </xf>
    <xf numFmtId="0" fontId="10" fillId="19" borderId="8" applyAlignment="1" pivotButton="0" quotePrefix="0" xfId="0">
      <alignment vertical="center" wrapText="1"/>
    </xf>
    <xf numFmtId="0" fontId="10" fillId="19" borderId="9" applyAlignment="1" pivotButton="0" quotePrefix="0" xfId="0">
      <alignment vertical="center" wrapText="1"/>
    </xf>
    <xf numFmtId="0" fontId="5" fillId="21" borderId="0" pivotButton="0" quotePrefix="0" xfId="0"/>
    <xf numFmtId="0" fontId="12" fillId="21" borderId="0" pivotButton="0" quotePrefix="0" xfId="0"/>
    <xf numFmtId="0" fontId="12" fillId="21" borderId="0" applyAlignment="1" pivotButton="0" quotePrefix="0" xfId="0">
      <alignment wrapText="1"/>
    </xf>
    <xf numFmtId="0" fontId="12" fillId="21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3" fillId="22" borderId="0" pivotButton="0" quotePrefix="0" xfId="0"/>
    <xf numFmtId="0" fontId="3" fillId="22" borderId="0" applyAlignment="1" pivotButton="0" quotePrefix="0" xfId="0">
      <alignment wrapText="1"/>
    </xf>
    <xf numFmtId="0" fontId="3" fillId="22" borderId="0" applyAlignment="1" pivotButton="0" quotePrefix="0" xfId="0">
      <alignment horizontal="center" wrapText="1"/>
    </xf>
    <xf numFmtId="0" fontId="3" fillId="22" borderId="0" applyAlignment="1" pivotButton="0" quotePrefix="0" xfId="0">
      <alignment horizontal="center" vertical="center" wrapText="1"/>
    </xf>
    <xf numFmtId="0" fontId="0" fillId="23" borderId="0" pivotButton="0" quotePrefix="0" xfId="0"/>
    <xf numFmtId="0" fontId="10" fillId="23" borderId="0" pivotButton="0" quotePrefix="0" xfId="0"/>
    <xf numFmtId="0" fontId="10" fillId="23" borderId="0" applyAlignment="1" pivotButton="0" quotePrefix="0" xfId="0">
      <alignment wrapText="1"/>
    </xf>
    <xf numFmtId="0" fontId="10" fillId="23" borderId="0" applyAlignment="1" pivotButton="0" quotePrefix="0" xfId="0">
      <alignment vertical="center" wrapText="1"/>
    </xf>
    <xf numFmtId="0" fontId="0" fillId="24" borderId="0" pivotButton="0" quotePrefix="0" xfId="0"/>
    <xf numFmtId="0" fontId="4" fillId="24" borderId="0" pivotButton="0" quotePrefix="0" xfId="0"/>
    <xf numFmtId="0" fontId="4" fillId="24" borderId="0" applyAlignment="1" pivotButton="0" quotePrefix="0" xfId="0">
      <alignment wrapText="1"/>
    </xf>
    <xf numFmtId="0" fontId="4" fillId="24" borderId="0" applyAlignment="1" pivotButton="0" quotePrefix="0" xfId="0">
      <alignment horizontal="center" wrapText="1"/>
    </xf>
    <xf numFmtId="0" fontId="4" fillId="24" borderId="0" applyAlignment="1" pivotButton="0" quotePrefix="0" xfId="0">
      <alignment horizontal="center" vertical="center" wrapText="1"/>
    </xf>
    <xf numFmtId="0" fontId="2" fillId="0" borderId="10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4" borderId="2" applyAlignment="1" pivotButton="0" quotePrefix="0" xfId="0">
      <alignment horizontal="center" vertical="center" wrapText="1"/>
    </xf>
    <xf numFmtId="0" fontId="4" fillId="24" borderId="3" applyAlignment="1" pivotButton="0" quotePrefix="0" xfId="0">
      <alignment horizontal="center" vertical="center" wrapText="1"/>
    </xf>
    <xf numFmtId="0" fontId="0" fillId="25" borderId="0" pivotButton="0" quotePrefix="0" xfId="0"/>
    <xf numFmtId="0" fontId="3" fillId="25" borderId="0" pivotButton="0" quotePrefix="0" xfId="0"/>
    <xf numFmtId="0" fontId="3" fillId="25" borderId="0" applyAlignment="1" pivotButton="0" quotePrefix="0" xfId="0">
      <alignment wrapText="1"/>
    </xf>
    <xf numFmtId="0" fontId="3" fillId="25" borderId="0" applyAlignment="1" pivotButton="0" quotePrefix="0" xfId="0">
      <alignment horizontal="center" wrapText="1"/>
    </xf>
    <xf numFmtId="0" fontId="3" fillId="25" borderId="0" applyAlignment="1" pivotButton="0" quotePrefix="0" xfId="0">
      <alignment horizontal="center" vertical="center" wrapText="1"/>
    </xf>
    <xf numFmtId="0" fontId="0" fillId="26" borderId="0" pivotButton="0" quotePrefix="0" xfId="0"/>
    <xf numFmtId="0" fontId="10" fillId="26" borderId="0" pivotButton="0" quotePrefix="0" xfId="0"/>
    <xf numFmtId="0" fontId="10" fillId="26" borderId="0" applyAlignment="1" pivotButton="0" quotePrefix="0" xfId="0">
      <alignment wrapText="1"/>
    </xf>
    <xf numFmtId="0" fontId="10" fillId="26" borderId="0" applyAlignment="1" pivotButton="0" quotePrefix="0" xfId="0">
      <alignment vertical="center" wrapText="1"/>
    </xf>
    <xf numFmtId="0" fontId="0" fillId="27" borderId="0" pivotButton="0" quotePrefix="0" xfId="0"/>
    <xf numFmtId="0" fontId="4" fillId="27" borderId="0" pivotButton="0" quotePrefix="0" xfId="0"/>
    <xf numFmtId="0" fontId="4" fillId="27" borderId="0" applyAlignment="1" pivotButton="0" quotePrefix="0" xfId="0">
      <alignment wrapText="1"/>
    </xf>
    <xf numFmtId="0" fontId="4" fillId="27" borderId="0" applyAlignment="1" pivotButton="0" quotePrefix="0" xfId="0">
      <alignment horizontal="center" wrapText="1"/>
    </xf>
    <xf numFmtId="0" fontId="4" fillId="27" borderId="0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4" fillId="27" borderId="3" applyAlignment="1" pivotButton="0" quotePrefix="0" xfId="0">
      <alignment horizontal="center" vertical="center" wrapText="1"/>
    </xf>
  </cellXfs>
  <cellStyles count="2">
    <cellStyle name="常规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10" defaultColWidth="8.83203125" defaultRowHeight="14"/>
  <cols>
    <col width="10" customWidth="1" style="87" min="1" max="1"/>
    <col width="18" customWidth="1" style="87" min="2" max="2"/>
    <col width="24" customWidth="1" style="87" min="3" max="3"/>
    <col width="24" customWidth="1" style="87" min="4" max="4"/>
    <col width="16" customWidth="1" style="87" min="5" max="5"/>
    <col width="20" customWidth="1" style="87" min="6" max="6"/>
    <col width="28" customWidth="1" style="87" min="7" max="7"/>
  </cols>
  <sheetData>
    <row r="1" ht="30" customHeight="1" s="87">
      <c r="A1" s="191" t="inlineStr">
        <is>
          <t>01｜阶段导航：先看阶段，再看细表</t>
        </is>
      </c>
    </row>
    <row r="2">
      <c r="A2" s="167" t="inlineStr">
        <is>
          <t>前四页只负责告诉你“现在在哪一阶段、这一阶段该抓什么”；后面的页再看细化任务。</t>
        </is>
      </c>
    </row>
    <row r="3" ht="28" customHeight="1" s="87">
      <c r="A3" s="108" t="n"/>
      <c r="B3" s="108" t="n"/>
      <c r="C3" s="108" t="n"/>
      <c r="D3" s="108" t="n"/>
      <c r="E3" s="108" t="n"/>
      <c r="F3" s="108" t="n"/>
      <c r="G3" s="108" t="n"/>
      <c r="H3" s="108" t="n"/>
    </row>
    <row r="4" ht="30" customHeight="1" s="87">
      <c r="A4" s="126" t="inlineStr">
        <is>
          <t>阶段</t>
        </is>
      </c>
      <c r="B4" s="127" t="inlineStr">
        <is>
          <t>时间范围</t>
        </is>
      </c>
      <c r="C4" s="127" t="inlineStr">
        <is>
          <t>数学</t>
        </is>
      </c>
      <c r="D4" s="127" t="inlineStr">
        <is>
          <t>英语</t>
        </is>
      </c>
      <c r="E4" s="127" t="inlineStr">
        <is>
          <t>政治</t>
        </is>
      </c>
      <c r="F4" s="127" t="inlineStr">
        <is>
          <t>822</t>
        </is>
      </c>
      <c r="G4" s="128" t="inlineStr">
        <is>
          <t>本阶段验收</t>
        </is>
      </c>
      <c r="H4" s="108" t="n"/>
    </row>
    <row r="5" ht="56" customHeight="1" s="87">
      <c r="A5" s="153" t="inlineStr">
        <is>
          <t>阶段1</t>
        </is>
      </c>
      <c r="B5" s="154" t="inlineStr">
        <is>
          <t>2026-08 至 2026-11</t>
        </is>
      </c>
      <c r="C5" s="154" t="inlineStr">
        <is>
          <t>高数基础 + 雅思/考研英语切换</t>
        </is>
      </c>
      <c r="D5" s="154" t="inlineStr">
        <is>
          <t>雅思冲刺后转考研英语词汇与外刊</t>
        </is>
      </c>
      <c r="E5" s="154" t="inlineStr">
        <is>
          <t>不主投</t>
        </is>
      </c>
      <c r="F5" s="154" t="inlineStr">
        <is>
          <t>822入门和基础目录</t>
        </is>
      </c>
      <c r="G5" s="155" t="inlineStr">
        <is>
          <t>高数基础收口；雅思完成；822入门图谱成型</t>
        </is>
      </c>
      <c r="H5" s="108" t="n"/>
    </row>
    <row r="6" ht="56" customHeight="1" s="87">
      <c r="A6" s="153" t="inlineStr">
        <is>
          <t>阶段2</t>
        </is>
      </c>
      <c r="B6" s="154" t="inlineStr">
        <is>
          <t>2026-12 至 2027-03</t>
        </is>
      </c>
      <c r="C6" s="154" t="inlineStr">
        <is>
          <t>高数强化 + 线代 + 660</t>
        </is>
      </c>
      <c r="D6" s="154" t="inlineStr">
        <is>
          <t>单词三轮、外刊长难句、英二精翻预热</t>
        </is>
      </c>
      <c r="E6" s="154" t="inlineStr">
        <is>
          <t>不主投</t>
        </is>
      </c>
      <c r="F6" s="154" t="inlineStr">
        <is>
          <t>822一轮基础完成</t>
        </is>
      </c>
      <c r="G6" s="155" t="inlineStr">
        <is>
          <t>30讲、1000A、线代、基础题型全部成框架</t>
        </is>
      </c>
      <c r="H6" s="108" t="n"/>
    </row>
    <row r="7" ht="56" customHeight="1" s="87">
      <c r="A7" s="153" t="inlineStr">
        <is>
          <t>阶段3</t>
        </is>
      </c>
      <c r="B7" s="154" t="inlineStr">
        <is>
          <t>2027-04 至 2027-06</t>
        </is>
      </c>
      <c r="C7" s="154" t="inlineStr">
        <is>
          <t>高数二次强化 + 1000B + 880</t>
        </is>
      </c>
      <c r="D7" s="154" t="inlineStr">
        <is>
          <t>英二72篇精翻</t>
        </is>
      </c>
      <c r="E7" s="154" t="inlineStr">
        <is>
          <t>不主投</t>
        </is>
      </c>
      <c r="F7" s="154" t="inlineStr">
        <is>
          <t>822二轮基础与过渡</t>
        </is>
      </c>
      <c r="G7" s="155" t="inlineStr">
        <is>
          <t>36讲、1000B、880、英二精翻72篇完成</t>
        </is>
      </c>
      <c r="H7" s="108" t="n"/>
    </row>
    <row r="8" ht="56" customHeight="1" s="87">
      <c r="A8" s="153" t="inlineStr">
        <is>
          <t>阶段4</t>
        </is>
      </c>
      <c r="B8" s="154" t="inlineStr">
        <is>
          <t>2027-07 至 2027-09</t>
        </is>
      </c>
      <c r="C8" s="154" t="inlineStr">
        <is>
          <t>概率 + 真题预热</t>
        </is>
      </c>
      <c r="D8" s="154" t="inlineStr">
        <is>
          <t>英一阅读 + 作文背默 + 三小门</t>
        </is>
      </c>
      <c r="E8" s="154" t="inlineStr">
        <is>
          <t>9月启动</t>
        </is>
      </c>
      <c r="F8" s="154" t="inlineStr">
        <is>
          <t>822专题强化与真题前置</t>
        </is>
      </c>
      <c r="G8" s="155" t="inlineStr">
        <is>
          <t>概率9讲、英一阅读、政治启动、822专题成型</t>
        </is>
      </c>
      <c r="H8" s="108" t="n"/>
    </row>
    <row r="9" ht="56" customHeight="1" s="87">
      <c r="A9" s="156" t="inlineStr">
        <is>
          <t>阶段5</t>
        </is>
      </c>
      <c r="B9" s="157" t="inlineStr">
        <is>
          <t>2027-10 至 2027-12</t>
        </is>
      </c>
      <c r="C9" s="157" t="inlineStr">
        <is>
          <t>真题/模拟/冲刺</t>
        </is>
      </c>
      <c r="D9" s="157" t="inlineStr">
        <is>
          <t>二刷三刷、作文、单词</t>
        </is>
      </c>
      <c r="E9" s="157" t="inlineStr">
        <is>
          <t>肖八肖四</t>
        </is>
      </c>
      <c r="F9" s="157" t="inlineStr">
        <is>
          <t>822真题与冲刺卷</t>
        </is>
      </c>
      <c r="G9" s="158" t="inlineStr">
        <is>
          <t>真题节奏稳定，考前只看错题与框架</t>
        </is>
      </c>
      <c r="H9" s="10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</row>
    <row r="11" ht="28" customHeight="1" s="87">
      <c r="A11" s="108" t="n"/>
    </row>
    <row r="12" ht="15" customHeight="1" s="87">
      <c r="A12" s="108" t="n"/>
      <c r="B12" s="108" t="n"/>
    </row>
    <row r="13" ht="15" customHeight="1" s="87">
      <c r="A13" s="108" t="n"/>
      <c r="B13" s="108" t="n"/>
    </row>
    <row r="14" ht="15" customHeight="1" s="87">
      <c r="A14" s="108" t="n"/>
      <c r="B14" s="108" t="n"/>
    </row>
    <row r="15" ht="15" customHeight="1" s="87">
      <c r="A15" s="108" t="n"/>
      <c r="B15" s="108" t="n"/>
    </row>
    <row r="16" ht="15" customHeight="1" s="87">
      <c r="A16" s="108" t="n"/>
      <c r="B16" s="108" t="n"/>
    </row>
  </sheetData>
  <mergeCells count="8">
    <mergeCell ref="B14:H14"/>
    <mergeCell ref="B13:H13"/>
    <mergeCell ref="A2:H2"/>
    <mergeCell ref="B12:H12"/>
    <mergeCell ref="B16:H16"/>
    <mergeCell ref="A11:H11"/>
    <mergeCell ref="B15:H15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10" defaultColWidth="8.83203125" defaultRowHeight="14"/>
  <cols>
    <col width="10" customWidth="1" style="87" min="1" max="1"/>
    <col width="30" customWidth="1" style="87" min="2" max="2"/>
    <col width="22" customWidth="1" style="87" min="3" max="3"/>
    <col width="22" customWidth="1" style="87" min="4" max="4"/>
    <col width="14" customWidth="1" style="87" min="5" max="5"/>
    <col width="20" customWidth="1" style="87" min="6" max="6"/>
    <col width="22" customWidth="1" style="87" min="7" max="7"/>
    <col width="16" customWidth="1" style="87" min="8" max="8"/>
    <col width="13" customWidth="1" style="87" min="9" max="9"/>
    <col width="12" customWidth="1" style="87" min="10" max="10"/>
  </cols>
  <sheetData>
    <row r="1" ht="32" customHeight="1" s="87">
      <c r="A1" s="191" t="inlineStr">
        <is>
          <t>03｜周阶梯：每周只看本阶段该做什么，不先陷进细节</t>
        </is>
      </c>
    </row>
    <row r="2">
      <c r="A2" s="167" t="inlineStr">
        <is>
          <t>更细的周计划保留在 10_详细周阶梯；这里先看每个阶段每周的固定节奏。</t>
        </is>
      </c>
    </row>
    <row r="3" ht="30" customHeight="1" s="87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</row>
    <row r="4" ht="72" customHeight="1" s="87">
      <c r="A4" s="126" t="inlineStr">
        <is>
          <t>阶段</t>
        </is>
      </c>
      <c r="B4" s="127" t="inlineStr">
        <is>
          <t>周节奏</t>
        </is>
      </c>
      <c r="C4" s="127" t="inlineStr">
        <is>
          <t>数学</t>
        </is>
      </c>
      <c r="D4" s="127" t="inlineStr">
        <is>
          <t>英语</t>
        </is>
      </c>
      <c r="E4" s="127" t="inlineStr">
        <is>
          <t>政治</t>
        </is>
      </c>
      <c r="F4" s="127" t="inlineStr">
        <is>
          <t>822</t>
        </is>
      </c>
      <c r="G4" s="127" t="inlineStr">
        <is>
          <t>周验收</t>
        </is>
      </c>
      <c r="H4" s="128" t="inlineStr">
        <is>
          <t>适用月份</t>
        </is>
      </c>
      <c r="I4" s="108" t="n"/>
      <c r="J4" s="108" t="n"/>
    </row>
    <row r="5" ht="50" customHeight="1" s="87">
      <c r="A5" s="153" t="inlineStr">
        <is>
          <t>阶段1</t>
        </is>
      </c>
      <c r="B5" s="154" t="inlineStr">
        <is>
          <t>周一高数、周二英语、周三822、周四高数、周五英语、周六套题、周日复盘</t>
        </is>
      </c>
      <c r="C5" s="154" t="inlineStr">
        <is>
          <t>30讲+1000A基础</t>
        </is>
      </c>
      <c r="D5" s="154" t="inlineStr">
        <is>
          <t>雅思冲刺/转考研英语</t>
        </is>
      </c>
      <c r="E5" s="154" t="inlineStr">
        <is>
          <t>不主投</t>
        </is>
      </c>
      <c r="F5" s="154" t="inlineStr">
        <is>
          <t>822入门</t>
        </is>
      </c>
      <c r="G5" s="154" t="inlineStr">
        <is>
          <t>本周讲次和错题回看完成</t>
        </is>
      </c>
      <c r="H5" s="155" t="inlineStr">
        <is>
          <t>2026-08~11</t>
        </is>
      </c>
      <c r="I5" s="108" t="n"/>
      <c r="J5" s="108" t="n"/>
    </row>
    <row r="6" ht="50" customHeight="1" s="87">
      <c r="A6" s="153" t="inlineStr">
        <is>
          <t>阶段2</t>
        </is>
      </c>
      <c r="B6" s="154" t="inlineStr">
        <is>
          <t>周一高数、周二线代、周三英语、周四822、周五高数、周六限时、周日复盘</t>
        </is>
      </c>
      <c r="C6" s="154" t="inlineStr">
        <is>
          <t>30讲二刷+660+线代</t>
        </is>
      </c>
      <c r="D6" s="154" t="inlineStr">
        <is>
          <t>单词+外刊+作文占位</t>
        </is>
      </c>
      <c r="E6" s="154" t="inlineStr">
        <is>
          <t>不主投</t>
        </is>
      </c>
      <c r="F6" s="154" t="inlineStr">
        <is>
          <t>822一轮基础</t>
        </is>
      </c>
      <c r="G6" s="154" t="inlineStr">
        <is>
          <t>本周章节和题组清零</t>
        </is>
      </c>
      <c r="H6" s="155" t="inlineStr">
        <is>
          <t>2026-12~2027-03</t>
        </is>
      </c>
      <c r="I6" s="108" t="n"/>
      <c r="J6" s="108" t="n"/>
    </row>
    <row r="7" ht="50" customHeight="1" s="87">
      <c r="A7" s="153" t="inlineStr">
        <is>
          <t>阶段3</t>
        </is>
      </c>
      <c r="B7" s="154" t="inlineStr">
        <is>
          <t>周一36讲、周二1000B、周三英语、周四822、周五线代、周六综合、周日复盘</t>
        </is>
      </c>
      <c r="C7" s="154" t="inlineStr">
        <is>
          <t>36讲+1000B+880</t>
        </is>
      </c>
      <c r="D7" s="154" t="inlineStr">
        <is>
          <t>英二精翻</t>
        </is>
      </c>
      <c r="E7" s="154" t="inlineStr">
        <is>
          <t>不主投</t>
        </is>
      </c>
      <c r="F7" s="154" t="inlineStr">
        <is>
          <t>822二轮基础</t>
        </is>
      </c>
      <c r="G7" s="154" t="inlineStr">
        <is>
          <t>二次强化进度达到周目标</t>
        </is>
      </c>
      <c r="H7" s="155" t="inlineStr">
        <is>
          <t>2027-04~06</t>
        </is>
      </c>
      <c r="I7" s="108" t="n"/>
      <c r="J7" s="108" t="n"/>
    </row>
    <row r="8" ht="50" customHeight="1" s="87">
      <c r="A8" s="153" t="inlineStr">
        <is>
          <t>阶段4</t>
        </is>
      </c>
      <c r="B8" s="154" t="inlineStr">
        <is>
          <t>周一概率、周二英一、周三822、周四概率、周五英语、周六真题、周日复盘</t>
        </is>
      </c>
      <c r="C8" s="154" t="inlineStr">
        <is>
          <t>概率9讲+真题预热</t>
        </is>
      </c>
      <c r="D8" s="154" t="inlineStr">
        <is>
          <t>英一阅读+三小门+作文</t>
        </is>
      </c>
      <c r="E8" s="154" t="inlineStr">
        <is>
          <t>9月启动</t>
        </is>
      </c>
      <c r="F8" s="154" t="inlineStr">
        <is>
          <t>822专题强化</t>
        </is>
      </c>
      <c r="G8" s="154" t="inlineStr">
        <is>
          <t>能按题型回讲义</t>
        </is>
      </c>
      <c r="H8" s="155" t="inlineStr">
        <is>
          <t>2027-07~09</t>
        </is>
      </c>
      <c r="I8" s="108" t="n"/>
      <c r="J8" s="108" t="n"/>
    </row>
    <row r="9" ht="50" customHeight="1" s="87">
      <c r="A9" s="156" t="inlineStr">
        <is>
          <t>阶段5</t>
        </is>
      </c>
      <c r="B9" s="157" t="inlineStr">
        <is>
          <t>周一真题、周二套卷、周三英语、周四政治、周五822、周六冲刺、周日复盘</t>
        </is>
      </c>
      <c r="C9" s="157" t="inlineStr">
        <is>
          <t>真题/模拟/冲刺</t>
        </is>
      </c>
      <c r="D9" s="157" t="inlineStr">
        <is>
          <t>二刷三刷+作文</t>
        </is>
      </c>
      <c r="E9" s="157" t="inlineStr">
        <is>
          <t>肖八肖四</t>
        </is>
      </c>
      <c r="F9" s="157" t="inlineStr">
        <is>
          <t>822真题冲刺</t>
        </is>
      </c>
      <c r="G9" s="157" t="inlineStr">
        <is>
          <t>只看错题和框架</t>
        </is>
      </c>
      <c r="H9" s="158" t="inlineStr">
        <is>
          <t>2027-10~12</t>
        </is>
      </c>
      <c r="I9" s="108" t="n"/>
      <c r="J9" s="108" t="n"/>
    </row>
    <row r="10" ht="72" customHeight="1" s="87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</row>
    <row r="11" ht="72" customHeight="1" s="87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</row>
    <row r="12" ht="72" customHeight="1" s="87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</row>
    <row r="13" ht="72" customHeight="1" s="87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</row>
    <row r="14" ht="72" customHeight="1" s="87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</row>
    <row r="15" ht="72" customHeight="1" s="87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</row>
    <row r="16" ht="72" customHeight="1" s="87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</row>
    <row r="17" ht="72" customHeight="1" s="87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</row>
    <row r="18" ht="72" customHeight="1" s="87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</row>
    <row r="19" ht="72" customHeight="1" s="87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</row>
    <row r="20" ht="72" customHeight="1" s="87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</row>
    <row r="21" ht="72" customHeight="1" s="87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</row>
    <row r="22" ht="72" customHeight="1" s="87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</row>
    <row r="23" ht="72" customHeight="1" s="87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</row>
    <row r="24" ht="72" customHeight="1" s="87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</row>
    <row r="25" ht="72" customHeight="1" s="87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</row>
    <row r="26" ht="72" customHeight="1" s="87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</row>
    <row r="27" ht="72" customHeight="1" s="87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</row>
    <row r="28" ht="72" customHeight="1" s="87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</row>
    <row r="29" ht="72" customHeight="1" s="87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</row>
    <row r="30" ht="72" customHeight="1" s="87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</row>
    <row r="31" ht="72" customHeight="1" s="87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</row>
    <row r="32" ht="72" customHeight="1" s="87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</row>
    <row r="33" ht="72" customHeight="1" s="87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</row>
    <row r="34" ht="72" customHeight="1" s="87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</row>
    <row r="35" ht="72" customHeight="1" s="87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</row>
    <row r="36" ht="72" customHeight="1" s="87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</row>
    <row r="37" ht="72" customHeight="1" s="87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</row>
    <row r="38" ht="72" customHeight="1" s="87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</row>
    <row r="39" ht="72" customHeight="1" s="87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</row>
    <row r="40" ht="72" customHeight="1" s="87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</row>
    <row r="41" ht="72" customHeight="1" s="87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</row>
    <row r="42" ht="72" customHeight="1" s="87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</row>
    <row r="43" ht="72" customHeight="1" s="87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</row>
    <row r="44" ht="72" customHeight="1" s="87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</row>
    <row r="45" ht="72" customHeight="1" s="87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</row>
    <row r="46" ht="72" customHeight="1" s="87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</row>
    <row r="47" ht="72" customHeight="1" s="87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</row>
    <row r="48" ht="72" customHeight="1" s="87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</row>
    <row r="49" ht="72" customHeight="1" s="87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</row>
    <row r="50" ht="72" customHeight="1" s="87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</row>
    <row r="51" ht="72" customHeight="1" s="87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</row>
    <row r="52" ht="72" customHeight="1" s="87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</row>
    <row r="53" ht="72" customHeight="1" s="87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</row>
    <row r="54" ht="72" customHeight="1" s="87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</row>
    <row r="55" ht="72" customHeight="1" s="87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</row>
    <row r="56" ht="72" customHeight="1" s="87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</row>
    <row r="57" ht="72" customHeight="1" s="87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</row>
    <row r="58" ht="72" customHeight="1" s="87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</row>
    <row r="59" ht="72" customHeight="1" s="87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</row>
    <row r="60" ht="72" customHeight="1" s="87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</row>
    <row r="61" ht="72" customHeight="1" s="87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</row>
    <row r="62" ht="72" customHeight="1" s="87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</row>
    <row r="63" ht="72" customHeight="1" s="87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</row>
    <row r="64" ht="72" customHeight="1" s="87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</row>
    <row r="65" ht="72" customHeight="1" s="87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</row>
    <row r="66" ht="72" customHeight="1" s="87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</row>
    <row r="67" ht="72" customHeight="1" s="87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</row>
    <row r="68" ht="72" customHeight="1" s="87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</row>
    <row r="69" ht="72" customHeight="1" s="87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</row>
    <row r="70" ht="72" customHeight="1" s="87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</row>
    <row r="71" ht="72" customHeight="1" s="87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</row>
    <row r="72" ht="72" customHeight="1" s="87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</row>
    <row r="73" ht="72" customHeight="1" s="87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</row>
    <row r="74" ht="72" customHeight="1" s="87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</row>
    <row r="75" ht="72" customHeight="1" s="87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</row>
  </sheetData>
  <mergeCells count="4">
    <mergeCell ref="A1:J1"/>
    <mergeCell ref="A2:J2"/>
    <mergeCell ref="A2:H2"/>
    <mergeCell ref="A1:H1"/>
  </mergeCells>
  <dataValidations count="2">
    <dataValidation sqref="J4:J71" showDropDown="0" showInputMessage="0" showErrorMessage="0" allowBlank="0" type="list">
      <formula1>"未开始,进行中,已完成,调整"</formula1>
    </dataValidation>
    <dataValidation sqref="J4:J75" showDropDown="0" showInputMessage="0" showErrorMessage="0" allowBlank="0" type="list">
      <formula1>"未开始,进行中,已完成,调整"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10" defaultColWidth="8.83203125" defaultRowHeight="14"/>
  <cols>
    <col width="14" customWidth="1" style="87" min="1" max="1"/>
    <col width="34" customWidth="1" style="87" min="2" max="2"/>
    <col width="24" customWidth="1" style="87" min="3" max="3"/>
    <col width="26" customWidth="1" style="87" min="4" max="4"/>
    <col width="40" customWidth="1" style="87" min="5" max="5"/>
    <col width="56" customWidth="1" style="87" min="6" max="6"/>
    <col width="44" customWidth="1" style="87" min="7" max="7"/>
    <col width="24" customWidth="1" style="87" min="8" max="8"/>
  </cols>
  <sheetData>
    <row r="1" ht="32" customHeight="1" s="87">
      <c r="A1" s="191" t="inlineStr">
        <is>
          <t>04｜月度规划：每月只抓一条主线，月底看是否越线</t>
        </is>
      </c>
    </row>
    <row r="2">
      <c r="A2" s="167" t="inlineStr">
        <is>
          <t>更细的月度任务保留在 11_详细月度规划；这里先给每个月一个“主任务句”。</t>
        </is>
      </c>
    </row>
    <row r="3" ht="30" customHeight="1" s="87">
      <c r="A3" s="108" t="n"/>
      <c r="B3" s="108" t="n"/>
      <c r="C3" s="108" t="n"/>
      <c r="D3" s="108" t="n"/>
      <c r="E3" s="108" t="n"/>
      <c r="F3" s="108" t="n"/>
      <c r="G3" s="108" t="n"/>
      <c r="H3" s="108" t="n"/>
    </row>
    <row r="4" ht="136" customHeight="1" s="87">
      <c r="A4" s="126" t="inlineStr">
        <is>
          <t>月份</t>
        </is>
      </c>
      <c r="B4" s="127" t="inlineStr">
        <is>
          <t>本月主线</t>
        </is>
      </c>
      <c r="C4" s="127" t="inlineStr">
        <is>
          <t>月末验收</t>
        </is>
      </c>
      <c r="D4" s="128" t="inlineStr">
        <is>
          <t>备注</t>
        </is>
      </c>
      <c r="E4" s="108" t="n"/>
      <c r="F4" s="108" t="n"/>
      <c r="G4" s="108" t="n"/>
      <c r="H4" s="108" t="n"/>
    </row>
    <row r="5" ht="48" customHeight="1" s="87">
      <c r="A5" s="153" t="inlineStr">
        <is>
          <t>2026-08~11</t>
        </is>
      </c>
      <c r="B5" s="154" t="inlineStr">
        <is>
          <t>高数基础 + 雅思/转考研英语 + 822入门</t>
        </is>
      </c>
      <c r="C5" s="154" t="inlineStr">
        <is>
          <t>高数基础目录打通；雅思完成；822入门成图谱</t>
        </is>
      </c>
      <c r="D5" s="155" t="inlineStr">
        <is>
          <t>不追求多，先追求准</t>
        </is>
      </c>
      <c r="E5" s="108" t="n"/>
      <c r="F5" s="108" t="n"/>
      <c r="G5" s="108" t="n"/>
      <c r="H5" s="108" t="n"/>
    </row>
    <row r="6" ht="48" customHeight="1" s="87">
      <c r="A6" s="153" t="inlineStr">
        <is>
          <t>2026-12~2027-03</t>
        </is>
      </c>
      <c r="B6" s="154" t="inlineStr">
        <is>
          <t>高数强化 + 线代 + 英语一轮切换</t>
        </is>
      </c>
      <c r="C6" s="154" t="inlineStr">
        <is>
          <t>30讲二刷、1000A、线代基础、单词三轮</t>
        </is>
      </c>
      <c r="D6" s="155" t="inlineStr">
        <is>
          <t>进入更硬的计算与框架阶段</t>
        </is>
      </c>
      <c r="E6" s="108" t="n"/>
      <c r="F6" s="108" t="n"/>
      <c r="G6" s="108" t="n"/>
      <c r="H6" s="108" t="n"/>
    </row>
    <row r="7" ht="48" customHeight="1" s="87">
      <c r="A7" s="153" t="inlineStr">
        <is>
          <t>2027-04~2027-06</t>
        </is>
      </c>
      <c r="B7" s="154" t="inlineStr">
        <is>
          <t>高数二次强化 + 英二精翻 + 822二轮</t>
        </is>
      </c>
      <c r="C7" s="154" t="inlineStr">
        <is>
          <t>36讲、1000B、英二72篇、822二轮</t>
        </is>
      </c>
      <c r="D7" s="155" t="inlineStr">
        <is>
          <t>形成真题前的稳定结构</t>
        </is>
      </c>
      <c r="E7" s="108" t="n"/>
      <c r="F7" s="108" t="n"/>
      <c r="G7" s="108" t="n"/>
      <c r="H7" s="108" t="n"/>
    </row>
    <row r="8" ht="48" customHeight="1" s="87">
      <c r="A8" s="156" t="inlineStr">
        <is>
          <t>2027-07~2027-12</t>
        </is>
      </c>
      <c r="B8" s="157" t="inlineStr">
        <is>
          <t>概率 + 英一阅读 + 政治 + 真题冲刺</t>
        </is>
      </c>
      <c r="C8" s="157" t="inlineStr">
        <is>
          <t>概率/英一/政治/822真题全部进入冲刺节奏</t>
        </is>
      </c>
      <c r="D8" s="158" t="inlineStr">
        <is>
          <t>开始按考试逻辑安排每天</t>
        </is>
      </c>
      <c r="E8" s="108" t="n"/>
      <c r="F8" s="108" t="n"/>
      <c r="G8" s="108" t="n"/>
      <c r="H8" s="108" t="n"/>
    </row>
    <row r="9" ht="136" customHeight="1" s="87">
      <c r="A9" s="108" t="n"/>
      <c r="B9" s="108" t="n"/>
      <c r="C9" s="108" t="n"/>
      <c r="D9" s="108" t="n"/>
      <c r="E9" s="108" t="n"/>
      <c r="F9" s="108" t="n"/>
      <c r="G9" s="108" t="n"/>
      <c r="H9" s="108" t="n"/>
    </row>
    <row r="10" ht="136" customHeight="1" s="87">
      <c r="A10" s="108" t="n"/>
      <c r="B10" s="108" t="n"/>
      <c r="C10" s="108" t="n"/>
      <c r="D10" s="108" t="n"/>
      <c r="E10" s="108" t="n"/>
      <c r="F10" s="108" t="n"/>
      <c r="G10" s="108" t="n"/>
      <c r="H10" s="108" t="n"/>
    </row>
    <row r="11" ht="136" customHeight="1" s="87">
      <c r="A11" s="108" t="n"/>
      <c r="B11" s="108" t="n"/>
      <c r="C11" s="108" t="n"/>
      <c r="D11" s="108" t="n"/>
      <c r="E11" s="108" t="n"/>
      <c r="F11" s="108" t="n"/>
      <c r="G11" s="108" t="n"/>
      <c r="H11" s="108" t="n"/>
    </row>
    <row r="12" ht="136" customHeight="1" s="87">
      <c r="A12" s="108" t="n"/>
      <c r="B12" s="108" t="n"/>
      <c r="C12" s="108" t="n"/>
      <c r="D12" s="108" t="n"/>
      <c r="E12" s="108" t="n"/>
      <c r="F12" s="108" t="n"/>
      <c r="G12" s="108" t="n"/>
      <c r="H12" s="108" t="n"/>
    </row>
    <row r="13" ht="136" customHeight="1" s="87">
      <c r="A13" s="108" t="n"/>
      <c r="B13" s="108" t="n"/>
      <c r="C13" s="108" t="n"/>
      <c r="D13" s="108" t="n"/>
      <c r="E13" s="108" t="n"/>
      <c r="F13" s="108" t="n"/>
      <c r="G13" s="108" t="n"/>
      <c r="H13" s="108" t="n"/>
    </row>
    <row r="14" ht="136" customHeight="1" s="87">
      <c r="A14" s="108" t="n"/>
      <c r="B14" s="108" t="n"/>
      <c r="C14" s="108" t="n"/>
      <c r="D14" s="108" t="n"/>
      <c r="E14" s="108" t="n"/>
      <c r="F14" s="108" t="n"/>
      <c r="G14" s="108" t="n"/>
      <c r="H14" s="108" t="n"/>
    </row>
    <row r="15" ht="136" customHeight="1" s="87">
      <c r="A15" s="108" t="n"/>
      <c r="B15" s="108" t="n"/>
      <c r="C15" s="108" t="n"/>
      <c r="D15" s="108" t="n"/>
      <c r="E15" s="108" t="n"/>
      <c r="F15" s="108" t="n"/>
      <c r="G15" s="108" t="n"/>
      <c r="H15" s="108" t="n"/>
    </row>
    <row r="16" ht="136" customHeight="1" s="87">
      <c r="A16" s="108" t="n"/>
      <c r="B16" s="108" t="n"/>
      <c r="C16" s="108" t="n"/>
      <c r="D16" s="108" t="n"/>
      <c r="E16" s="108" t="n"/>
      <c r="F16" s="108" t="n"/>
      <c r="G16" s="108" t="n"/>
      <c r="H16" s="108" t="n"/>
    </row>
    <row r="17" ht="136" customHeight="1" s="87">
      <c r="A17" s="108" t="n"/>
      <c r="B17" s="108" t="n"/>
      <c r="C17" s="108" t="n"/>
      <c r="D17" s="108" t="n"/>
      <c r="E17" s="108" t="n"/>
      <c r="F17" s="108" t="n"/>
      <c r="G17" s="108" t="n"/>
      <c r="H17" s="108" t="n"/>
    </row>
    <row r="18" ht="136" customHeight="1" s="87">
      <c r="A18" s="108" t="n"/>
      <c r="B18" s="108" t="n"/>
      <c r="C18" s="108" t="n"/>
      <c r="D18" s="108" t="n"/>
      <c r="E18" s="108" t="n"/>
      <c r="F18" s="108" t="n"/>
      <c r="G18" s="108" t="n"/>
      <c r="H18" s="108" t="n"/>
    </row>
    <row r="19" ht="136" customHeight="1" s="87">
      <c r="A19" s="108" t="n"/>
      <c r="B19" s="108" t="n"/>
      <c r="C19" s="108" t="n"/>
      <c r="D19" s="108" t="n"/>
      <c r="E19" s="108" t="n"/>
      <c r="F19" s="108" t="n"/>
      <c r="G19" s="108" t="n"/>
      <c r="H19" s="108" t="n"/>
    </row>
    <row r="20" ht="136" customHeight="1" s="87">
      <c r="A20" s="108" t="n"/>
      <c r="B20" s="108" t="n"/>
      <c r="C20" s="108" t="n"/>
      <c r="D20" s="108" t="n"/>
      <c r="E20" s="108" t="n"/>
      <c r="F20" s="108" t="n"/>
      <c r="G20" s="108" t="n"/>
      <c r="H20" s="108" t="n"/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style="87" min="1" max="1"/>
    <col width="24" customWidth="1" style="87" min="2" max="8"/>
  </cols>
  <sheetData>
    <row r="1" ht="32" customHeight="1" s="87">
      <c r="A1" s="109" t="inlineStr">
        <is>
          <t>05｜下学期课表适配（详细）｜课程冲突只调时间，不改主线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</row>
    <row r="3" ht="30" customHeight="1" s="87">
      <c r="A3" s="110" t="inlineStr">
        <is>
          <t>节次/时间</t>
        </is>
      </c>
      <c r="B3" s="110" t="inlineStr">
        <is>
          <t>周一</t>
        </is>
      </c>
      <c r="C3" s="110" t="inlineStr">
        <is>
          <t>周二</t>
        </is>
      </c>
      <c r="D3" s="110" t="inlineStr">
        <is>
          <t>周三</t>
        </is>
      </c>
      <c r="E3" s="110" t="inlineStr">
        <is>
          <t>周四</t>
        </is>
      </c>
      <c r="F3" s="110" t="inlineStr">
        <is>
          <t>周五</t>
        </is>
      </c>
      <c r="G3" s="110" t="inlineStr">
        <is>
          <t>周六</t>
        </is>
      </c>
      <c r="H3" s="110" t="inlineStr">
        <is>
          <t>周日</t>
        </is>
      </c>
    </row>
    <row r="4" ht="58" customHeight="1" s="87">
      <c r="A4" s="111" t="inlineStr">
        <is>
          <t>第1-2节
08:00-09:40</t>
        </is>
      </c>
      <c r="B4" s="112" t="inlineStr">
        <is>
          <t>—</t>
        </is>
      </c>
      <c r="C4" s="112" t="inlineStr">
        <is>
          <t>—</t>
        </is>
      </c>
      <c r="D4" s="112" t="inlineStr">
        <is>
          <t>—</t>
        </is>
      </c>
      <c r="E4" s="112" t="inlineStr">
        <is>
          <t>车辆控制理论A
1-8周</t>
        </is>
      </c>
      <c r="F4" s="112" t="inlineStr">
        <is>
          <t>车用动力系统原理
10-16周</t>
        </is>
      </c>
      <c r="G4" s="112" t="inlineStr">
        <is>
          <t>主攻：数学/822</t>
        </is>
      </c>
      <c r="H4" s="113" t="inlineStr">
        <is>
          <t>周复盘/休息</t>
        </is>
      </c>
    </row>
    <row r="5" ht="58" customHeight="1" s="87">
      <c r="A5" s="114" t="inlineStr">
        <is>
          <t>第3-5节
10:10-12:40</t>
        </is>
      </c>
      <c r="B5" s="115" t="inlineStr">
        <is>
          <t>车辆控制理论A
1-8周
流体动力学10-17周</t>
        </is>
      </c>
      <c r="C5" s="115" t="inlineStr">
        <is>
          <t>电子控制技术1-9周
车用动力10-17周</t>
        </is>
      </c>
      <c r="D5" s="115" t="inlineStr">
        <is>
          <t>汽车工程学2
1-16周</t>
        </is>
      </c>
      <c r="E5" s="115" t="inlineStr">
        <is>
          <t>汽车专业英语1-8周</t>
        </is>
      </c>
      <c r="F5" s="115" t="inlineStr">
        <is>
          <t>科技创业导论1-8周</t>
        </is>
      </c>
      <c r="G5" s="115" t="inlineStr">
        <is>
          <t>主攻：专业课/数学</t>
        </is>
      </c>
      <c r="H5" s="116" t="inlineStr">
        <is>
          <t>轻量英语/822</t>
        </is>
      </c>
    </row>
    <row r="6" ht="58" customHeight="1" s="87">
      <c r="A6" s="114" t="inlineStr">
        <is>
          <t>第6-8节
14:00-16:30</t>
        </is>
      </c>
      <c r="B6" s="115" t="inlineStr">
        <is>
          <t>—</t>
        </is>
      </c>
      <c r="C6" s="115" t="inlineStr">
        <is>
          <t>智能汽车规划与控制1-8周</t>
        </is>
      </c>
      <c r="D6" s="115" t="inlineStr">
        <is>
          <t>汽车振动基础1-8周
新能源结构10-17周</t>
        </is>
      </c>
      <c r="E6" s="115" t="inlineStr">
        <is>
          <t>—</t>
        </is>
      </c>
      <c r="F6" s="115" t="inlineStr">
        <is>
          <t>—</t>
        </is>
      </c>
      <c r="G6" s="115" t="inlineStr">
        <is>
          <t>专题/模考复盘</t>
        </is>
      </c>
      <c r="H6" s="116" t="inlineStr">
        <is>
          <t>周计划/欠账清理</t>
        </is>
      </c>
    </row>
    <row r="7" ht="58" customHeight="1" s="87">
      <c r="A7" s="114" t="inlineStr">
        <is>
          <t>第9-10节
17:00-18:30</t>
        </is>
      </c>
      <c r="B7" s="115" t="inlineStr">
        <is>
          <t>—</t>
        </is>
      </c>
      <c r="C7" s="115" t="inlineStr">
        <is>
          <t>—</t>
        </is>
      </c>
      <c r="D7" s="115" t="inlineStr">
        <is>
          <t>—</t>
        </is>
      </c>
      <c r="E7" s="115" t="inlineStr">
        <is>
          <t>形势与政策10-13周</t>
        </is>
      </c>
      <c r="F7" s="115" t="inlineStr">
        <is>
          <t>—</t>
        </is>
      </c>
      <c r="G7" s="115" t="inlineStr">
        <is>
          <t>18:30健身固定</t>
        </is>
      </c>
      <c r="H7" s="116" t="inlineStr">
        <is>
          <t>18:30拉伸/散步</t>
        </is>
      </c>
    </row>
    <row r="8" ht="58" customHeight="1" s="87">
      <c r="A8" s="117" t="inlineStr">
        <is>
          <t>晚间
21:00-22:00</t>
        </is>
      </c>
      <c r="B8" s="118" t="inlineStr">
        <is>
          <t>单词+复盘</t>
        </is>
      </c>
      <c r="C8" s="118" t="inlineStr">
        <is>
          <t>单词+口语/错题</t>
        </is>
      </c>
      <c r="D8" s="118" t="inlineStr">
        <is>
          <t>错题标注+复盘</t>
        </is>
      </c>
      <c r="E8" s="118" t="inlineStr">
        <is>
          <t>单词+作文</t>
        </is>
      </c>
      <c r="F8" s="118" t="inlineStr">
        <is>
          <t>周小结+下周缺口</t>
        </is>
      </c>
      <c r="G8" s="118" t="inlineStr">
        <is>
          <t>周总结</t>
        </is>
      </c>
      <c r="H8" s="119" t="inlineStr">
        <is>
          <t>仅复盘</t>
        </is>
      </c>
    </row>
    <row r="9">
      <c r="A9" s="108" t="n"/>
      <c r="B9" s="108" t="n"/>
      <c r="C9" s="108" t="n"/>
      <c r="D9" s="108" t="n"/>
      <c r="E9" s="108" t="n"/>
      <c r="F9" s="108" t="n"/>
      <c r="G9" s="108" t="n"/>
      <c r="H9" s="108" t="n"/>
    </row>
    <row r="10" ht="32" customHeight="1" s="87">
      <c r="A10" s="120" t="inlineStr">
        <is>
          <t>执行原则：课程时间只占用对应格；主攻块优先放在无课的早晨/下午；课程作业不计入考研有效学习；周日只做复盘和恢复。</t>
        </is>
      </c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</row>
  </sheetData>
  <mergeCells count="2">
    <mergeCell ref="A1:H1"/>
    <mergeCell ref="A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selection activeCell="A1" sqref="A1"/>
    </sheetView>
  </sheetViews>
  <sheetFormatPr baseColWidth="10" defaultColWidth="8.83203125" defaultRowHeight="14"/>
  <cols>
    <col width="8" customWidth="1" style="87" min="1" max="1"/>
    <col width="16" customWidth="1" style="87" min="2" max="2"/>
    <col width="11" customWidth="1" style="87" min="3" max="3"/>
    <col width="44" customWidth="1" style="87" min="4" max="4"/>
    <col width="44" customWidth="1" style="87" min="5" max="5"/>
    <col width="32" customWidth="1" style="87" min="6" max="6"/>
    <col width="44" customWidth="1" style="87" min="7" max="7"/>
    <col width="14" customWidth="1" style="87" min="8" max="8"/>
    <col width="11" customWidth="1" style="87" min="9" max="9"/>
    <col width="13" customWidth="1" style="87" min="10" max="10"/>
    <col width="24" customWidth="1" style="87" min="11" max="11"/>
    <col width="28" customWidth="1" style="87" min="12" max="12"/>
  </cols>
  <sheetData>
    <row r="1" ht="30" customHeight="1" s="87">
      <c r="A1" s="191" t="inlineStr">
        <is>
          <t>06｜周复盘打卡（详细）｜按任务块统计完成率</t>
        </is>
      </c>
    </row>
    <row r="2">
      <c r="A2" s="167" t="inlineStr">
        <is>
          <t>填写口径：数学按讲次/题组/套卷计；英语按单词复习、精翻篇数、阅读/作文输出计；822按章节/专题/题组计；政治按刷题批次计。完成率&lt;70%时，下周新内容减20%，先补欠账。</t>
        </is>
      </c>
    </row>
    <row r="3" ht="28" customHeight="1" s="87">
      <c r="A3" s="126" t="inlineStr">
        <is>
          <t>周次</t>
        </is>
      </c>
      <c r="B3" s="127" t="inlineStr">
        <is>
          <t>起止日期</t>
        </is>
      </c>
      <c r="C3" s="127" t="inlineStr">
        <is>
          <t>月份</t>
        </is>
      </c>
      <c r="D3" s="127" t="inlineStr">
        <is>
          <t>数学计划块</t>
        </is>
      </c>
      <c r="E3" s="127" t="inlineStr">
        <is>
          <t>英语/雅思计划块</t>
        </is>
      </c>
      <c r="F3" s="127" t="inlineStr">
        <is>
          <t>政治计划块</t>
        </is>
      </c>
      <c r="G3" s="127" t="inlineStr">
        <is>
          <t>822计划块</t>
        </is>
      </c>
      <c r="H3" s="127" t="inlineStr">
        <is>
          <t>实际有效小时</t>
        </is>
      </c>
      <c r="I3" s="127" t="inlineStr">
        <is>
          <t>健身次数</t>
        </is>
      </c>
      <c r="J3" s="127" t="inlineStr">
        <is>
          <t>四科完成率</t>
        </is>
      </c>
      <c r="K3" s="127" t="inlineStr">
        <is>
          <t>主要错因</t>
        </is>
      </c>
      <c r="L3" s="128" t="inlineStr">
        <is>
          <t>下周调整</t>
        </is>
      </c>
    </row>
    <row r="4" ht="68" customHeight="1" s="87">
      <c r="A4" s="153" t="n">
        <v>1</v>
      </c>
      <c r="B4" s="154" t="inlineStr">
        <is>
          <t>8/4-8/9</t>
        </is>
      </c>
      <c r="C4" s="154" t="inlineStr">
        <is>
          <t>2026-08</t>
        </is>
      </c>
      <c r="D4" s="154" t="inlineStr">
        <is>
          <t>高数基础：30讲第1/3/4讲，1000A对应题；每天错题≥10道，2/6/11先跳过</t>
        </is>
      </c>
      <c r="E4" s="154" t="inlineStr">
        <is>
          <t>雅思W1：词汇100/日；听音朗读/听英想中/听英写英；精翻阅读2篇/日</t>
        </is>
      </c>
      <c r="F4" s="154" t="inlineStr">
        <is>
          <t>政治：不安排</t>
        </is>
      </c>
      <c r="G4" s="154" t="inlineStr">
        <is>
          <t>822入门：反馈结构、传递函数、开环/闭环；做1张结论卡</t>
        </is>
      </c>
      <c r="H4" s="154" t="n"/>
      <c r="I4" s="154" t="n"/>
      <c r="J4" s="176" t="n"/>
      <c r="K4" s="154" t="n"/>
      <c r="L4" s="155" t="n"/>
    </row>
    <row r="5" ht="68" customHeight="1" s="87">
      <c r="A5" s="153" t="n">
        <v>2</v>
      </c>
      <c r="B5" s="154" t="inlineStr">
        <is>
          <t>8/10-8/16</t>
        </is>
      </c>
      <c r="C5" s="154" t="inlineStr">
        <is>
          <t>2026-08</t>
        </is>
      </c>
      <c r="D5" s="154" t="inlineStr">
        <is>
          <t>高数基础：30讲第5/7/8讲，1000A对应题；回做上周错题≥50道</t>
        </is>
      </c>
      <c r="E5" s="154" t="inlineStr">
        <is>
          <t>雅思W2：词汇100/日；精翻阅读2篇/日；听力错因分类</t>
        </is>
      </c>
      <c r="F5" s="154" t="inlineStr">
        <is>
          <t>政治：不安排</t>
        </is>
      </c>
      <c r="G5" s="154" t="inlineStr">
        <is>
          <t>822入门：时域指标、阶跃响应、稳态误差；基础题2组</t>
        </is>
      </c>
      <c r="H5" s="154" t="n"/>
      <c r="I5" s="154" t="n"/>
      <c r="J5" s="176" t="n"/>
      <c r="K5" s="154" t="n"/>
      <c r="L5" s="155" t="n"/>
    </row>
    <row r="6" ht="68" customHeight="1" s="87">
      <c r="A6" s="153" t="n">
        <v>3</v>
      </c>
      <c r="B6" s="154" t="inlineStr">
        <is>
          <t>8/17-8/23</t>
        </is>
      </c>
      <c r="C6" s="154" t="inlineStr">
        <is>
          <t>2026-08</t>
        </is>
      </c>
      <c r="D6" s="154" t="inlineStr">
        <is>
          <t>高数基础：30讲第9/10/12讲，1000A对应题；核心计算讲义补薄弱题型</t>
        </is>
      </c>
      <c r="E6" s="154" t="inlineStr">
        <is>
          <t>雅思W3：Sun听读方法论；阅读定位训练；写作框架初稿</t>
        </is>
      </c>
      <c r="F6" s="154" t="inlineStr">
        <is>
          <t>政治：不安排</t>
        </is>
      </c>
      <c r="G6" s="154" t="inlineStr">
        <is>
          <t>822入门：稳定性判据、误差系数；整理易混概念</t>
        </is>
      </c>
      <c r="H6" s="154" t="n"/>
      <c r="I6" s="154" t="n"/>
      <c r="J6" s="176" t="n"/>
      <c r="K6" s="154" t="n"/>
      <c r="L6" s="155" t="n"/>
    </row>
    <row r="7" ht="68" customHeight="1" s="87">
      <c r="A7" s="153" t="n">
        <v>4</v>
      </c>
      <c r="B7" s="154" t="inlineStr">
        <is>
          <t>8/24-8/30</t>
        </is>
      </c>
      <c r="C7" s="154" t="inlineStr">
        <is>
          <t>2026-08</t>
        </is>
      </c>
      <c r="D7" s="154" t="inlineStr">
        <is>
          <t>高数基础：30讲第13/14/15讲，1000A阶段小测；列出正确率&lt;50%的章</t>
        </is>
      </c>
      <c r="E7" s="154" t="inlineStr">
        <is>
          <t>雅思W4：口语素材Part1/2；作文框架；1次听读小模考</t>
        </is>
      </c>
      <c r="F7" s="154" t="inlineStr">
        <is>
          <t>政治：不安排</t>
        </is>
      </c>
      <c r="G7" s="154" t="inlineStr">
        <is>
          <t>822入门：频域/Bode/Nyquist；建立题型符号表</t>
        </is>
      </c>
      <c r="H7" s="154" t="n"/>
      <c r="I7" s="154" t="n"/>
      <c r="J7" s="176" t="n"/>
      <c r="K7" s="154" t="n"/>
      <c r="L7" s="155" t="n"/>
    </row>
    <row r="8" ht="68" customHeight="1" s="87">
      <c r="A8" s="153" t="n">
        <v>5</v>
      </c>
      <c r="B8" s="154" t="inlineStr">
        <is>
          <t>8/31-9/6</t>
        </is>
      </c>
      <c r="C8" s="154" t="inlineStr">
        <is>
          <t>2026-09</t>
        </is>
      </c>
      <c r="D8" s="154" t="inlineStr">
        <is>
          <t>高数基础：30讲第16-18讲，1000A对应；核心计算讲义导数/积分计算</t>
        </is>
      </c>
      <c r="E8" s="154" t="inlineStr">
        <is>
          <t>雅思：听力Section1-2专项；阅读判断/匹配题；词汇复习100%</t>
        </is>
      </c>
      <c r="F8" s="154" t="inlineStr">
        <is>
          <t>政治：不安排</t>
        </is>
      </c>
      <c r="G8" s="154" t="inlineStr">
        <is>
          <t>822基础：数学模型与方块图化简；题型卡1组</t>
        </is>
      </c>
      <c r="H8" s="154" t="n"/>
      <c r="I8" s="154" t="n"/>
      <c r="J8" s="176" t="n"/>
      <c r="K8" s="154" t="n"/>
      <c r="L8" s="155" t="n"/>
    </row>
    <row r="9" ht="68" customHeight="1" s="87">
      <c r="A9" s="153" t="n">
        <v>6</v>
      </c>
      <c r="B9" s="154" t="inlineStr">
        <is>
          <t>9/7-9/13</t>
        </is>
      </c>
      <c r="C9" s="154" t="inlineStr">
        <is>
          <t>2026-09</t>
        </is>
      </c>
      <c r="D9" s="154" t="inlineStr">
        <is>
          <t>高数基础：30讲第19-21讲，1000A对应；错题符号标注统一</t>
        </is>
      </c>
      <c r="E9" s="154" t="inlineStr">
        <is>
          <t>雅思：听力Section3-4专项；阅读长难句精翻；写作Task1框架</t>
        </is>
      </c>
      <c r="F9" s="154" t="inlineStr">
        <is>
          <t>政治：不安排</t>
        </is>
      </c>
      <c r="G9" s="154" t="inlineStr">
        <is>
          <t>822基础：时域响应与稳定性；错题标注圆/方/星/三角</t>
        </is>
      </c>
      <c r="H9" s="154" t="n"/>
      <c r="I9" s="154" t="n"/>
      <c r="J9" s="176" t="n"/>
      <c r="K9" s="154" t="n"/>
      <c r="L9" s="155" t="n"/>
    </row>
    <row r="10" ht="68" customHeight="1" s="87">
      <c r="A10" s="153" t="n">
        <v>7</v>
      </c>
      <c r="B10" s="154" t="inlineStr">
        <is>
          <t>9/14-9/20</t>
        </is>
      </c>
      <c r="C10" s="154" t="inlineStr">
        <is>
          <t>2026-09</t>
        </is>
      </c>
      <c r="D10" s="154" t="inlineStr">
        <is>
          <t>高数基础：30讲第22-25讲，1000A对应；补2/6/11中最必要内容</t>
        </is>
      </c>
      <c r="E10" s="154" t="inlineStr">
        <is>
          <t>雅思：口语Part2素材库；写作Task2观点库；1套听读限时</t>
        </is>
      </c>
      <c r="F10" s="154" t="inlineStr">
        <is>
          <t>政治：不安排</t>
        </is>
      </c>
      <c r="G10" s="154" t="inlineStr">
        <is>
          <t>822基础：根轨迹/频域初步；补讲义例题</t>
        </is>
      </c>
      <c r="H10" s="154" t="n"/>
      <c r="I10" s="154" t="n"/>
      <c r="J10" s="176" t="n"/>
      <c r="K10" s="154" t="n"/>
      <c r="L10" s="155" t="n"/>
    </row>
    <row r="11" ht="68" customHeight="1" s="87">
      <c r="A11" s="153" t="n">
        <v>8</v>
      </c>
      <c r="B11" s="154" t="inlineStr">
        <is>
          <t>9/21-9/27</t>
        </is>
      </c>
      <c r="C11" s="154" t="inlineStr">
        <is>
          <t>2026-09</t>
        </is>
      </c>
      <c r="D11" s="154" t="inlineStr">
        <is>
          <t>高数基础收口：30讲第26-30讲；统计1000A一刷正确率并分流</t>
        </is>
      </c>
      <c r="E11" s="154" t="inlineStr">
        <is>
          <t>雅思：完整听读模考1次；作文2篇修改；口语录音复盘2次</t>
        </is>
      </c>
      <c r="F11" s="154" t="inlineStr">
        <is>
          <t>政治：不安排</t>
        </is>
      </c>
      <c r="G11" s="154" t="inlineStr">
        <is>
          <t>822基础：串联校正/反馈校正概念；月末小测</t>
        </is>
      </c>
      <c r="H11" s="154" t="n"/>
      <c r="I11" s="154" t="n"/>
      <c r="J11" s="176" t="n"/>
      <c r="K11" s="154" t="n"/>
      <c r="L11" s="155" t="n"/>
    </row>
    <row r="12" ht="68" customHeight="1" s="87">
      <c r="A12" s="153" t="n">
        <v>9</v>
      </c>
      <c r="B12" s="154" t="inlineStr">
        <is>
          <t>9/28-10/4</t>
        </is>
      </c>
      <c r="C12" s="154" t="inlineStr">
        <is>
          <t>2026-10</t>
        </is>
      </c>
      <c r="D12" s="154" t="inlineStr">
        <is>
          <t>高数基础验收：零基础讲义目录逐项打勾；核心计算讲义第一轮完成</t>
        </is>
      </c>
      <c r="E12" s="154" t="inlineStr">
        <is>
          <t>雅思冲刺：听读套题2套；作文Task1/Task2各1篇</t>
        </is>
      </c>
      <c r="F12" s="154" t="inlineStr">
        <is>
          <t>政治：不安排</t>
        </is>
      </c>
      <c r="G12" s="154" t="inlineStr">
        <is>
          <t>822基础目录验收：传递函数/方块图；课后题第1组</t>
        </is>
      </c>
      <c r="H12" s="154" t="n"/>
      <c r="I12" s="154" t="n"/>
      <c r="J12" s="176" t="n"/>
      <c r="K12" s="154" t="n"/>
      <c r="L12" s="155" t="n"/>
    </row>
    <row r="13" ht="68" customHeight="1" s="87">
      <c r="A13" s="153" t="n">
        <v>10</v>
      </c>
      <c r="B13" s="154" t="inlineStr">
        <is>
          <t>10/5-10/11</t>
        </is>
      </c>
      <c r="C13" s="154" t="inlineStr">
        <is>
          <t>2026-10</t>
        </is>
      </c>
      <c r="D13" s="154" t="inlineStr">
        <is>
          <t>1000A分流：&gt;50%继续配套题；≤50%回讲义例题与同类题</t>
        </is>
      </c>
      <c r="E13" s="154" t="inlineStr">
        <is>
          <t>雅思冲刺：口语Part1/2/3全流程；作文修改2轮</t>
        </is>
      </c>
      <c r="F13" s="154" t="inlineStr">
        <is>
          <t>政治：不安排</t>
        </is>
      </c>
      <c r="G13" s="154" t="inlineStr">
        <is>
          <t>822基础目录验收：时域/稳定性；课后题第2组</t>
        </is>
      </c>
      <c r="H13" s="154" t="n"/>
      <c r="I13" s="154" t="n"/>
      <c r="J13" s="176" t="n"/>
      <c r="K13" s="154" t="n"/>
      <c r="L13" s="155" t="n"/>
    </row>
    <row r="14" ht="68" customHeight="1" s="87">
      <c r="A14" s="153" t="n">
        <v>11</v>
      </c>
      <c r="B14" s="154" t="inlineStr">
        <is>
          <t>10/12-10/18</t>
        </is>
      </c>
      <c r="C14" s="154" t="inlineStr">
        <is>
          <t>2026-10</t>
        </is>
      </c>
      <c r="D14" s="154" t="inlineStr">
        <is>
          <t>高数补弱：30讲跳过章节2/6/11回补；每天10道错题+2组计算题</t>
        </is>
      </c>
      <c r="E14" s="154" t="inlineStr">
        <is>
          <t>雅思冲刺：完整模考1套；Lexi写作反馈；整理高频错词</t>
        </is>
      </c>
      <c r="F14" s="154" t="inlineStr">
        <is>
          <t>政治：不安排</t>
        </is>
      </c>
      <c r="G14" s="154" t="inlineStr">
        <is>
          <t>822基础目录验收：频域/校正；课后题第3组</t>
        </is>
      </c>
      <c r="H14" s="154" t="n"/>
      <c r="I14" s="154" t="n"/>
      <c r="J14" s="176" t="n"/>
      <c r="K14" s="154" t="n"/>
      <c r="L14" s="155" t="n"/>
    </row>
    <row r="15" ht="68" customHeight="1" s="87">
      <c r="A15" s="153" t="n">
        <v>12</v>
      </c>
      <c r="B15" s="154" t="inlineStr">
        <is>
          <t>10/19-10/25</t>
        </is>
      </c>
      <c r="C15" s="154" t="inlineStr">
        <is>
          <t>2026-10</t>
        </is>
      </c>
      <c r="D15" s="154" t="inlineStr">
        <is>
          <t>月末测评：1000A错题重做；确定12月二刷30讲章节清单</t>
        </is>
      </c>
      <c r="E15" s="154" t="inlineStr">
        <is>
          <t>雅思冲刺：考前复盘；考后立即切回考研单词和外刊长难句</t>
        </is>
      </c>
      <c r="F15" s="154" t="inlineStr">
        <is>
          <t>政治：不安排</t>
        </is>
      </c>
      <c r="G15" s="154" t="inlineStr">
        <is>
          <t>822基础总复盘：形成一轮基础缺口清单</t>
        </is>
      </c>
      <c r="H15" s="154" t="n"/>
      <c r="I15" s="154" t="n"/>
      <c r="J15" s="176" t="n"/>
      <c r="K15" s="154" t="n"/>
      <c r="L15" s="155" t="n"/>
    </row>
    <row r="16" ht="68" customHeight="1" s="87">
      <c r="A16" s="153" t="n">
        <v>13</v>
      </c>
      <c r="B16" s="154" t="inlineStr">
        <is>
          <t>10/26-11/1</t>
        </is>
      </c>
      <c r="C16" s="154" t="inlineStr">
        <is>
          <t>2026-11</t>
        </is>
      </c>
      <c r="D16" s="154" t="inlineStr">
        <is>
          <t>高数复核：30讲第1-8讲错题回看；1000A错题重做</t>
        </is>
      </c>
      <c r="E16" s="154" t="inlineStr">
        <is>
          <t>雅思考前：听读限时+口语录音；作文模板最后调整</t>
        </is>
      </c>
      <c r="F16" s="154" t="inlineStr">
        <is>
          <t>政治：不安排</t>
        </is>
      </c>
      <c r="G16" s="154" t="inlineStr">
        <is>
          <t>822基础：系统建模与反馈结构；讲义错题回做</t>
        </is>
      </c>
      <c r="H16" s="154" t="n"/>
      <c r="I16" s="154" t="n"/>
      <c r="J16" s="176" t="n"/>
      <c r="K16" s="154" t="n"/>
      <c r="L16" s="155" t="n"/>
    </row>
    <row r="17" ht="68" customHeight="1" s="87">
      <c r="A17" s="153" t="n">
        <v>14</v>
      </c>
      <c r="B17" s="154" t="inlineStr">
        <is>
          <t>11/2-11/8</t>
        </is>
      </c>
      <c r="C17" s="154" t="inlineStr">
        <is>
          <t>2026-11</t>
        </is>
      </c>
      <c r="D17" s="154" t="inlineStr">
        <is>
          <t>高数复核：30讲第9-16讲错题回看；核心计算薄弱项补题</t>
        </is>
      </c>
      <c r="E17" s="154" t="inlineStr">
        <is>
          <t>雅思考试周：轻复盘，不硬开考研英语新任务</t>
        </is>
      </c>
      <c r="F17" s="154" t="inlineStr">
        <is>
          <t>政治：不安排</t>
        </is>
      </c>
      <c r="G17" s="154" t="inlineStr">
        <is>
          <t>822基础：时域响应与稳定性；题型卡更新</t>
        </is>
      </c>
      <c r="H17" s="154" t="n"/>
      <c r="I17" s="154" t="n"/>
      <c r="J17" s="176" t="n"/>
      <c r="K17" s="154" t="n"/>
      <c r="L17" s="155" t="n"/>
    </row>
    <row r="18" ht="68" customHeight="1" s="87">
      <c r="A18" s="153" t="n">
        <v>15</v>
      </c>
      <c r="B18" s="154" t="inlineStr">
        <is>
          <t>11/9-11/15</t>
        </is>
      </c>
      <c r="C18" s="154" t="inlineStr">
        <is>
          <t>2026-11</t>
        </is>
      </c>
      <c r="D18" s="154" t="inlineStr">
        <is>
          <t>高数复核：30讲第17-24讲错题回看；开始整理二刷顺序</t>
        </is>
      </c>
      <c r="E18" s="154" t="inlineStr">
        <is>
          <t>考研英语切换：单词50-100/日；外刊长难句第1批</t>
        </is>
      </c>
      <c r="F18" s="154" t="inlineStr">
        <is>
          <t>政治：不安排</t>
        </is>
      </c>
      <c r="G18" s="154" t="inlineStr">
        <is>
          <t>822基础：频域法与Bode；基础题限时</t>
        </is>
      </c>
      <c r="H18" s="154" t="n"/>
      <c r="I18" s="154" t="n"/>
      <c r="J18" s="176" t="n"/>
      <c r="K18" s="154" t="n"/>
      <c r="L18" s="155" t="n"/>
    </row>
    <row r="19" ht="68" customHeight="1" s="87">
      <c r="A19" s="153" t="n">
        <v>16</v>
      </c>
      <c r="B19" s="154" t="inlineStr">
        <is>
          <t>11/16-11/22</t>
        </is>
      </c>
      <c r="C19" s="154" t="inlineStr">
        <is>
          <t>2026-11</t>
        </is>
      </c>
      <c r="D19" s="154" t="inlineStr">
        <is>
          <t>高数复核：30讲第25-30讲+2/6/11；形成2027年3月前强化清单</t>
        </is>
      </c>
      <c r="E19" s="154" t="inlineStr">
        <is>
          <t>考研英语：单词第1轮继续；外刊长难句第2批</t>
        </is>
      </c>
      <c r="F19" s="154" t="inlineStr">
        <is>
          <t>政治：不安排</t>
        </is>
      </c>
      <c r="G19" s="154" t="inlineStr">
        <is>
          <t>822基础：根轨迹/校正；结论卡复述</t>
        </is>
      </c>
      <c r="H19" s="154" t="n"/>
      <c r="I19" s="154" t="n"/>
      <c r="J19" s="176" t="n"/>
      <c r="K19" s="154" t="n"/>
      <c r="L19" s="155" t="n"/>
    </row>
    <row r="20" ht="68" customHeight="1" s="87">
      <c r="A20" s="153" t="n">
        <v>17</v>
      </c>
      <c r="B20" s="154" t="inlineStr">
        <is>
          <t>11/23-11/29</t>
        </is>
      </c>
      <c r="C20" s="154" t="inlineStr">
        <is>
          <t>2026-11</t>
        </is>
      </c>
      <c r="D20" s="154" t="inlineStr">
        <is>
          <t>高数缓冲：1000A高频错题二刷；补齐章节正确率统计</t>
        </is>
      </c>
      <c r="E20" s="154" t="inlineStr">
        <is>
          <t>考研英语缓冲：补齐单词复习任务；准备牛皮纸真题册</t>
        </is>
      </c>
      <c r="F20" s="154" t="inlineStr">
        <is>
          <t>政治：不安排</t>
        </is>
      </c>
      <c r="G20" s="154" t="inlineStr">
        <is>
          <t>822基础缓冲：补掉课程/雅思冲突产生的欠账</t>
        </is>
      </c>
      <c r="H20" s="154" t="n"/>
      <c r="I20" s="154" t="n"/>
      <c r="J20" s="176" t="n"/>
      <c r="K20" s="154" t="n"/>
      <c r="L20" s="155" t="n"/>
    </row>
    <row r="21" ht="68" customHeight="1" s="87">
      <c r="A21" s="153" t="n">
        <v>18</v>
      </c>
      <c r="B21" s="154" t="inlineStr">
        <is>
          <t>11/30-12/6</t>
        </is>
      </c>
      <c r="C21" s="154" t="inlineStr">
        <is>
          <t>2026-12</t>
        </is>
      </c>
      <c r="D21" s="154" t="inlineStr">
        <is>
          <t>高数强化启动：二刷30讲第1-8讲；1000A错题回做</t>
        </is>
      </c>
      <c r="E21" s="154" t="inlineStr">
        <is>
          <t>考研英语：单词第1轮；外刊长难句每周3篇</t>
        </is>
      </c>
      <c r="F21" s="154" t="inlineStr">
        <is>
          <t>政治：不安排</t>
        </is>
      </c>
      <c r="G21" s="154" t="inlineStr">
        <is>
          <t>822一轮：教材/讲义第1章；错题直接标注</t>
        </is>
      </c>
      <c r="H21" s="154" t="n"/>
      <c r="I21" s="154" t="n"/>
      <c r="J21" s="176" t="n"/>
      <c r="K21" s="154" t="n"/>
      <c r="L21" s="155" t="n"/>
    </row>
    <row r="22" ht="68" customHeight="1" s="87">
      <c r="A22" s="153" t="n">
        <v>19</v>
      </c>
      <c r="B22" s="154" t="inlineStr">
        <is>
          <t>12/7-12/13</t>
        </is>
      </c>
      <c r="C22" s="154" t="inlineStr">
        <is>
          <t>2026-12</t>
        </is>
      </c>
      <c r="D22" s="154" t="inlineStr">
        <is>
          <t>高数强化：二刷30讲第9-16讲；每周一次2小时连续计算</t>
        </is>
      </c>
      <c r="E22" s="154" t="inlineStr">
        <is>
          <t>考研英语：单词复习任务100%；公众号外刊第2组</t>
        </is>
      </c>
      <c r="F22" s="154" t="inlineStr">
        <is>
          <t>政治：不安排</t>
        </is>
      </c>
      <c r="G22" s="154" t="inlineStr">
        <is>
          <t>822一轮：教材/讲义第2章；基础题2组</t>
        </is>
      </c>
      <c r="H22" s="154" t="n"/>
      <c r="I22" s="154" t="n"/>
      <c r="J22" s="176" t="n"/>
      <c r="K22" s="154" t="n"/>
      <c r="L22" s="155" t="n"/>
    </row>
    <row r="23" ht="68" customHeight="1" s="87">
      <c r="A23" s="153" t="n">
        <v>20</v>
      </c>
      <c r="B23" s="154" t="inlineStr">
        <is>
          <t>12/14-12/20</t>
        </is>
      </c>
      <c r="C23" s="154" t="inlineStr">
        <is>
          <t>2026-12</t>
        </is>
      </c>
      <c r="D23" s="154" t="inlineStr">
        <is>
          <t>高数强化：二刷30讲第17-24讲；开660基础题型试水</t>
        </is>
      </c>
      <c r="E23" s="154" t="inlineStr">
        <is>
          <t>考研英语：长难句翻译训练；错词提前查</t>
        </is>
      </c>
      <c r="F23" s="154" t="inlineStr">
        <is>
          <t>政治：不安排</t>
        </is>
      </c>
      <c r="G23" s="154" t="inlineStr">
        <is>
          <t>822一轮：教材/讲义第3章；结论卡1组</t>
        </is>
      </c>
      <c r="H23" s="154" t="n"/>
      <c r="I23" s="154" t="n"/>
      <c r="J23" s="176" t="n"/>
      <c r="K23" s="154" t="n"/>
      <c r="L23" s="155" t="n"/>
    </row>
    <row r="24" ht="68" customHeight="1" s="87">
      <c r="A24" s="153" t="n">
        <v>21</v>
      </c>
      <c r="B24" s="154" t="inlineStr">
        <is>
          <t>12/21-12/27</t>
        </is>
      </c>
      <c r="C24" s="154" t="inlineStr">
        <is>
          <t>2026-12</t>
        </is>
      </c>
      <c r="D24" s="154" t="inlineStr">
        <is>
          <t>高数强化：二刷30讲第25-30讲；整理A4大法候选章节</t>
        </is>
      </c>
      <c r="E24" s="154" t="inlineStr">
        <is>
          <t>资料准备：两套牛皮纸真题册；英二精翻资料确认</t>
        </is>
      </c>
      <c r="F24" s="154" t="inlineStr">
        <is>
          <t>政治：不安排</t>
        </is>
      </c>
      <c r="G24" s="154" t="inlineStr">
        <is>
          <t>822一轮：教材/讲义第4章；月末章节测</t>
        </is>
      </c>
      <c r="H24" s="154" t="n"/>
      <c r="I24" s="154" t="n"/>
      <c r="J24" s="176" t="n"/>
      <c r="K24" s="154" t="n"/>
      <c r="L24" s="155" t="n"/>
    </row>
    <row r="25" ht="68" customHeight="1" s="87">
      <c r="A25" s="153" t="n">
        <v>22</v>
      </c>
      <c r="B25" s="154" t="inlineStr">
        <is>
          <t>12/28-1/3</t>
        </is>
      </c>
      <c r="C25" s="154" t="inlineStr">
        <is>
          <t>2027-01</t>
        </is>
      </c>
      <c r="D25" s="154" t="inlineStr">
        <is>
          <t>高数强化：30讲二刷第1轮总复盘；1000A错题第1批</t>
        </is>
      </c>
      <c r="E25" s="154" t="inlineStr">
        <is>
          <t>单词第1轮：每天50-100；外刊长难句第1组</t>
        </is>
      </c>
      <c r="F25" s="154" t="inlineStr">
        <is>
          <t>政治：不安排</t>
        </is>
      </c>
      <c r="G25" s="154" t="inlineStr">
        <is>
          <t>822一轮：反馈与传递函数；讲义+错题</t>
        </is>
      </c>
      <c r="H25" s="154" t="n"/>
      <c r="I25" s="154" t="n"/>
      <c r="J25" s="176" t="n"/>
      <c r="K25" s="154" t="n"/>
      <c r="L25" s="155" t="n"/>
    </row>
    <row r="26" ht="68" customHeight="1" s="87">
      <c r="A26" s="153" t="n">
        <v>23</v>
      </c>
      <c r="B26" s="154" t="inlineStr">
        <is>
          <t>1/4-1/10</t>
        </is>
      </c>
      <c r="C26" s="154" t="inlineStr">
        <is>
          <t>2027-01</t>
        </is>
      </c>
      <c r="D26" s="154" t="inlineStr">
        <is>
          <t>高数强化：660高数新题第1批；1000A错题第2批</t>
        </is>
      </c>
      <c r="E26" s="154" t="inlineStr">
        <is>
          <t>单词第1轮：复习优先；外刊长难句第2组</t>
        </is>
      </c>
      <c r="F26" s="154" t="inlineStr">
        <is>
          <t>政治：不安排</t>
        </is>
      </c>
      <c r="G26" s="154" t="inlineStr">
        <is>
          <t>822一轮：时域响应；课本例题+讲义题</t>
        </is>
      </c>
      <c r="H26" s="154" t="n"/>
      <c r="I26" s="154" t="n"/>
      <c r="J26" s="176" t="n"/>
      <c r="K26" s="154" t="n"/>
      <c r="L26" s="155" t="n"/>
    </row>
    <row r="27" ht="68" customHeight="1" s="87">
      <c r="A27" s="153" t="n">
        <v>24</v>
      </c>
      <c r="B27" s="154" t="inlineStr">
        <is>
          <t>1/11-1/17</t>
        </is>
      </c>
      <c r="C27" s="154" t="inlineStr">
        <is>
          <t>2027-01</t>
        </is>
      </c>
      <c r="D27" s="154" t="inlineStr">
        <is>
          <t>高数强化：660高数新题第2批；核心计算专题限时训练</t>
        </is>
      </c>
      <c r="E27" s="154" t="inlineStr">
        <is>
          <t>单词第2轮启动：不背单词任务清零后再加新词</t>
        </is>
      </c>
      <c r="F27" s="154" t="inlineStr">
        <is>
          <t>政治：不安排</t>
        </is>
      </c>
      <c r="G27" s="154" t="inlineStr">
        <is>
          <t>822一轮：稳定性/稳态误差；错题回讲义</t>
        </is>
      </c>
      <c r="H27" s="154" t="n"/>
      <c r="I27" s="154" t="n"/>
      <c r="J27" s="176" t="n"/>
      <c r="K27" s="154" t="n"/>
      <c r="L27" s="155" t="n"/>
    </row>
    <row r="28" ht="68" customHeight="1" s="87">
      <c r="A28" s="153" t="n">
        <v>25</v>
      </c>
      <c r="B28" s="154" t="inlineStr">
        <is>
          <t>1/18-1/24</t>
        </is>
      </c>
      <c r="C28" s="154" t="inlineStr">
        <is>
          <t>2027-01</t>
        </is>
      </c>
      <c r="D28" s="154" t="inlineStr">
        <is>
          <t>高数强化：660高数新题第3批；30讲框架默写</t>
        </is>
      </c>
      <c r="E28" s="154" t="inlineStr">
        <is>
          <t>作文占位：mmg作文素材框架；练字基础笔画</t>
        </is>
      </c>
      <c r="F28" s="154" t="inlineStr">
        <is>
          <t>政治：不安排</t>
        </is>
      </c>
      <c r="G28" s="154" t="inlineStr">
        <is>
          <t>822一轮：频域响应；Bode/Nyquist题型卡</t>
        </is>
      </c>
      <c r="H28" s="154" t="n"/>
      <c r="I28" s="154" t="n"/>
      <c r="J28" s="176" t="n"/>
      <c r="K28" s="154" t="n"/>
      <c r="L28" s="155" t="n"/>
    </row>
    <row r="29" ht="68" customHeight="1" s="87">
      <c r="A29" s="153" t="n">
        <v>26</v>
      </c>
      <c r="B29" s="154" t="inlineStr">
        <is>
          <t>1/25-1/31</t>
        </is>
      </c>
      <c r="C29" s="154" t="inlineStr">
        <is>
          <t>2027-01</t>
        </is>
      </c>
      <c r="D29" s="154" t="inlineStr">
        <is>
          <t>高数强化缓冲：补春节/课程欠账；形成线代月错题交接清单</t>
        </is>
      </c>
      <c r="E29" s="154" t="inlineStr">
        <is>
          <t>春节/课程缓冲：单词不断；外刊少量维持</t>
        </is>
      </c>
      <c r="F29" s="154" t="inlineStr">
        <is>
          <t>政治：不安排</t>
        </is>
      </c>
      <c r="G29" s="154" t="inlineStr">
        <is>
          <t>822一轮缓冲：补齐章节目录与错题标注</t>
        </is>
      </c>
      <c r="H29" s="154" t="n"/>
      <c r="I29" s="154" t="n"/>
      <c r="J29" s="176" t="n"/>
      <c r="K29" s="154" t="n"/>
      <c r="L29" s="155" t="n"/>
    </row>
    <row r="30" ht="68" customHeight="1" s="87">
      <c r="A30" s="153" t="n">
        <v>27</v>
      </c>
      <c r="B30" s="154" t="inlineStr">
        <is>
          <t>2/1-2/7</t>
        </is>
      </c>
      <c r="C30" s="154" t="inlineStr">
        <is>
          <t>2027-02</t>
        </is>
      </c>
      <c r="D30" s="154" t="inlineStr">
        <is>
          <t>线代基础：张宇30讲线代第1-4讲；880基础第1组；高数:线代=5:1</t>
        </is>
      </c>
      <c r="E30" s="154" t="inlineStr">
        <is>
          <t>单词第2轮：每天50-100；外刊翻译第1组</t>
        </is>
      </c>
      <c r="F30" s="154" t="inlineStr">
        <is>
          <t>政治：不安排</t>
        </is>
      </c>
      <c r="G30" s="154" t="inlineStr">
        <is>
          <t>822一轮：根轨迹基础；课本+讲义题</t>
        </is>
      </c>
      <c r="H30" s="154" t="n"/>
      <c r="I30" s="154" t="n"/>
      <c r="J30" s="176" t="n"/>
      <c r="K30" s="154" t="n"/>
      <c r="L30" s="155" t="n"/>
    </row>
    <row r="31" ht="68" customHeight="1" s="87">
      <c r="A31" s="153" t="n">
        <v>28</v>
      </c>
      <c r="B31" s="154" t="inlineStr">
        <is>
          <t>2/8-2/14</t>
        </is>
      </c>
      <c r="C31" s="154" t="inlineStr">
        <is>
          <t>2027-02</t>
        </is>
      </c>
      <c r="D31" s="154" t="inlineStr">
        <is>
          <t>线代强化：线代第5-8讲+没咋了网课；880基础第2组；高数错题维持</t>
        </is>
      </c>
      <c r="E31" s="154" t="inlineStr">
        <is>
          <t>单词第2轮：外刊翻译第2组；准备英二精翻清单</t>
        </is>
      </c>
      <c r="F31" s="154" t="inlineStr">
        <is>
          <t>政治：不安排</t>
        </is>
      </c>
      <c r="G31" s="154" t="inlineStr">
        <is>
          <t>822一轮：校正网络；结论卡</t>
        </is>
      </c>
      <c r="H31" s="154" t="n"/>
      <c r="I31" s="154" t="n"/>
      <c r="J31" s="176" t="n"/>
      <c r="K31" s="154" t="n"/>
      <c r="L31" s="155" t="n"/>
    </row>
    <row r="32" ht="68" customHeight="1" s="87">
      <c r="A32" s="153" t="n">
        <v>29</v>
      </c>
      <c r="B32" s="154" t="inlineStr">
        <is>
          <t>2/15-2/21</t>
        </is>
      </c>
      <c r="C32" s="154" t="inlineStr">
        <is>
          <t>2027-02</t>
        </is>
      </c>
      <c r="D32" s="154" t="inlineStr">
        <is>
          <t>线代强化：线代第9-12讲；880基础第3组；高数660继续</t>
        </is>
      </c>
      <c r="E32" s="154" t="inlineStr">
        <is>
          <t>长难句：公众号外刊第3组；精翻格式固定</t>
        </is>
      </c>
      <c r="F32" s="154" t="inlineStr">
        <is>
          <t>政治：不安排</t>
        </is>
      </c>
      <c r="G32" s="154" t="inlineStr">
        <is>
          <t>822一轮：状态空间/综合题初步；基础题</t>
        </is>
      </c>
      <c r="H32" s="154" t="n"/>
      <c r="I32" s="154" t="n"/>
      <c r="J32" s="176" t="n"/>
      <c r="K32" s="154" t="n"/>
      <c r="L32" s="155" t="n"/>
    </row>
    <row r="33" ht="68" customHeight="1" s="87">
      <c r="A33" s="153" t="n">
        <v>30</v>
      </c>
      <c r="B33" s="154" t="inlineStr">
        <is>
          <t>2/22-2/28</t>
        </is>
      </c>
      <c r="C33" s="154" t="inlineStr">
        <is>
          <t>2027-02</t>
        </is>
      </c>
      <c r="D33" s="154" t="inlineStr">
        <is>
          <t>线代收口：线代第13-16讲；880基础总复盘；进入880综合预备</t>
        </is>
      </c>
      <c r="E33" s="154" t="inlineStr">
        <is>
          <t>精翻预备：整理2010-2027英二72篇编号表</t>
        </is>
      </c>
      <c r="F33" s="154" t="inlineStr">
        <is>
          <t>政治：不安排</t>
        </is>
      </c>
      <c r="G33" s="154" t="inlineStr">
        <is>
          <t>822一轮：2月总复盘；为4月中一轮完成做缺口表</t>
        </is>
      </c>
      <c r="H33" s="154" t="n"/>
      <c r="I33" s="154" t="n"/>
      <c r="J33" s="176" t="n"/>
      <c r="K33" s="154" t="n"/>
      <c r="L33" s="155" t="n"/>
    </row>
    <row r="34" ht="68" customHeight="1" s="87">
      <c r="A34" s="153" t="n">
        <v>31</v>
      </c>
      <c r="B34" s="154" t="inlineStr">
        <is>
          <t>3/1-3/7</t>
        </is>
      </c>
      <c r="C34" s="154" t="inlineStr">
        <is>
          <t>2027-03</t>
        </is>
      </c>
      <c r="D34" s="154" t="inlineStr">
        <is>
          <t>高数强化收口：二刷30讲框架；1000A错题第1轮；A4大法启动条件检查</t>
        </is>
      </c>
      <c r="E34" s="154" t="inlineStr">
        <is>
          <t>单词第2/3轮交接；外刊长难句第4组</t>
        </is>
      </c>
      <c r="F34" s="154" t="inlineStr">
        <is>
          <t>政治：不安排</t>
        </is>
      </c>
      <c r="G34" s="154" t="inlineStr">
        <is>
          <t>822一轮冲刺：方块图/传递函数/时域错题</t>
        </is>
      </c>
      <c r="H34" s="154" t="n"/>
      <c r="I34" s="154" t="n"/>
      <c r="J34" s="176" t="n"/>
      <c r="K34" s="154" t="n"/>
      <c r="L34" s="155" t="n"/>
    </row>
    <row r="35" ht="68" customHeight="1" s="87">
      <c r="A35" s="153" t="n">
        <v>32</v>
      </c>
      <c r="B35" s="154" t="inlineStr">
        <is>
          <t>3/8-3/14</t>
        </is>
      </c>
      <c r="C35" s="154" t="inlineStr">
        <is>
          <t>2027-03</t>
        </is>
      </c>
      <c r="D35" s="154" t="inlineStr">
        <is>
          <t>高数强化收口：660高数题第4批；1000A错题第2轮</t>
        </is>
      </c>
      <c r="E35" s="154" t="inlineStr">
        <is>
          <t>英二精翻预热：逐字逐句/扇贝工具流程演练</t>
        </is>
      </c>
      <c r="F35" s="154" t="inlineStr">
        <is>
          <t>政治：不安排</t>
        </is>
      </c>
      <c r="G35" s="154" t="inlineStr">
        <is>
          <t>822一轮冲刺：稳定性/频域错题；3月可购买芝麻研行</t>
        </is>
      </c>
      <c r="H35" s="154" t="n"/>
      <c r="I35" s="154" t="n"/>
      <c r="J35" s="176" t="n"/>
      <c r="K35" s="154" t="n"/>
      <c r="L35" s="155" t="n"/>
    </row>
    <row r="36" ht="68" customHeight="1" s="87">
      <c r="A36" s="153" t="n">
        <v>33</v>
      </c>
      <c r="B36" s="154" t="inlineStr">
        <is>
          <t>3/15-3/21</t>
        </is>
      </c>
      <c r="C36" s="154" t="inlineStr">
        <is>
          <t>2027-03</t>
        </is>
      </c>
      <c r="D36" s="154" t="inlineStr">
        <is>
          <t>线代综合：没咋了强化讲义第1遍；880综合第1组；高数弱章回补</t>
        </is>
      </c>
      <c r="E36" s="154" t="inlineStr">
        <is>
          <t>作文占位：图画类第一段素材；衡水体单词练习</t>
        </is>
      </c>
      <c r="F36" s="154" t="inlineStr">
        <is>
          <t>政治：不安排</t>
        </is>
      </c>
      <c r="G36" s="154" t="inlineStr">
        <is>
          <t>822一轮冲刺：校正/状态空间；讲义题收口</t>
        </is>
      </c>
      <c r="H36" s="154" t="n"/>
      <c r="I36" s="154" t="n"/>
      <c r="J36" s="176" t="n"/>
      <c r="K36" s="154" t="n"/>
      <c r="L36" s="155" t="n"/>
    </row>
    <row r="37" ht="68" customHeight="1" s="87">
      <c r="A37" s="153" t="n">
        <v>34</v>
      </c>
      <c r="B37" s="154" t="inlineStr">
        <is>
          <t>3/22-3/28</t>
        </is>
      </c>
      <c r="C37" s="154" t="inlineStr">
        <is>
          <t>2027-03</t>
        </is>
      </c>
      <c r="D37" s="154" t="inlineStr">
        <is>
          <t>月末验收：2027年3月前完成高数强化；列出36讲/1000B二强顺序</t>
        </is>
      </c>
      <c r="E37" s="154" t="inlineStr">
        <is>
          <t>3月验收：词汇三轮进度；4月英二精翻启动清单</t>
        </is>
      </c>
      <c r="F37" s="154" t="inlineStr">
        <is>
          <t>政治：不安排</t>
        </is>
      </c>
      <c r="G37" s="154" t="inlineStr">
        <is>
          <t>822一轮验收：4月中前完成基础课+讲义+错题一轮</t>
        </is>
      </c>
      <c r="H37" s="154" t="n"/>
      <c r="I37" s="154" t="n"/>
      <c r="J37" s="176" t="n"/>
      <c r="K37" s="154" t="n"/>
      <c r="L37" s="155" t="n"/>
    </row>
    <row r="38" ht="68" customHeight="1" s="87">
      <c r="A38" s="153" t="n">
        <v>35</v>
      </c>
      <c r="B38" s="154" t="inlineStr">
        <is>
          <t>3/29-4/4</t>
        </is>
      </c>
      <c r="C38" s="154" t="inlineStr">
        <is>
          <t>2027-04</t>
        </is>
      </c>
      <c r="D38" s="154" t="inlineStr">
        <is>
          <t>高数二次强化：张宇强化36讲第1-9讲；1000B对应题；线代讲义二刷</t>
        </is>
      </c>
      <c r="E38" s="154" t="inlineStr">
        <is>
          <t>英二精翻：2010-2013阅读共16篇；每篇译文+错词表</t>
        </is>
      </c>
      <c r="F38" s="154" t="inlineStr">
        <is>
          <t>政治：不安排</t>
        </is>
      </c>
      <c r="G38" s="154" t="inlineStr">
        <is>
          <t>822一轮收尾：基础课缺口清零；错题二刷第1批</t>
        </is>
      </c>
      <c r="H38" s="154" t="n"/>
      <c r="I38" s="154" t="n"/>
      <c r="J38" s="176" t="n"/>
      <c r="K38" s="154" t="n"/>
      <c r="L38" s="155" t="n"/>
    </row>
    <row r="39" ht="68" customHeight="1" s="87">
      <c r="A39" s="153" t="n">
        <v>36</v>
      </c>
      <c r="B39" s="154" t="inlineStr">
        <is>
          <t>4/5-4/11</t>
        </is>
      </c>
      <c r="C39" s="154" t="inlineStr">
        <is>
          <t>2027-04</t>
        </is>
      </c>
      <c r="D39" s="154" t="inlineStr">
        <is>
          <t>高数二次强化：36讲第10-18讲；1000B对应题；880线代综合第2组</t>
        </is>
      </c>
      <c r="E39" s="154" t="inlineStr">
        <is>
          <t>英二精翻：2014-2017阅读共16篇；长难句拆解</t>
        </is>
      </c>
      <c r="F39" s="154" t="inlineStr">
        <is>
          <t>政治：不安排</t>
        </is>
      </c>
      <c r="G39" s="154" t="inlineStr">
        <is>
          <t>822二轮启动：讲义第1-2章；结论卡复述</t>
        </is>
      </c>
      <c r="H39" s="154" t="n"/>
      <c r="I39" s="154" t="n"/>
      <c r="J39" s="176" t="n"/>
      <c r="K39" s="154" t="n"/>
      <c r="L39" s="155" t="n"/>
    </row>
    <row r="40" ht="68" customHeight="1" s="87">
      <c r="A40" s="153" t="n">
        <v>37</v>
      </c>
      <c r="B40" s="154" t="inlineStr">
        <is>
          <t>4/12-4/18</t>
        </is>
      </c>
      <c r="C40" s="154" t="inlineStr">
        <is>
          <t>2027-04</t>
        </is>
      </c>
      <c r="D40" s="154" t="inlineStr">
        <is>
          <t>高数二次强化：36讲第19-27讲；大雪深埋查漏；A4默写二级结论</t>
        </is>
      </c>
      <c r="E40" s="154" t="inlineStr">
        <is>
          <t>英二精翻：2018-2021阅读共16篇；错因分类</t>
        </is>
      </c>
      <c r="F40" s="154" t="inlineStr">
        <is>
          <t>政治：不安排</t>
        </is>
      </c>
      <c r="G40" s="154" t="inlineStr">
        <is>
          <t>822二轮：讲义第3-4章；错题回做</t>
        </is>
      </c>
      <c r="H40" s="154" t="n"/>
      <c r="I40" s="154" t="n"/>
      <c r="J40" s="176" t="n"/>
      <c r="K40" s="154" t="n"/>
      <c r="L40" s="155" t="n"/>
    </row>
    <row r="41" ht="68" customHeight="1" s="87">
      <c r="A41" s="153" t="n">
        <v>38</v>
      </c>
      <c r="B41" s="154" t="inlineStr">
        <is>
          <t>4/19-4/25</t>
        </is>
      </c>
      <c r="C41" s="154" t="inlineStr">
        <is>
          <t>2027-04</t>
        </is>
      </c>
      <c r="D41" s="154" t="inlineStr">
        <is>
          <t>高数二次强化：36讲第28-36讲；1000B阶段测；1000B完后开高数880</t>
        </is>
      </c>
      <c r="E41" s="154" t="inlineStr">
        <is>
          <t>英二精翻：2022-2025阅读共16篇；周末复盘4篇</t>
        </is>
      </c>
      <c r="F41" s="154" t="inlineStr">
        <is>
          <t>政治：不安排</t>
        </is>
      </c>
      <c r="G41" s="154" t="inlineStr">
        <is>
          <t>822二轮：讲义第5章及综合题；阶段测</t>
        </is>
      </c>
      <c r="H41" s="154" t="n"/>
      <c r="I41" s="154" t="n"/>
      <c r="J41" s="176" t="n"/>
      <c r="K41" s="154" t="n"/>
      <c r="L41" s="155" t="n"/>
    </row>
    <row r="42" ht="68" customHeight="1" s="87">
      <c r="A42" s="153" t="n">
        <v>39</v>
      </c>
      <c r="B42" s="154" t="inlineStr">
        <is>
          <t>4/26-5/2</t>
        </is>
      </c>
      <c r="C42" s="154" t="inlineStr">
        <is>
          <t>2027-05</t>
        </is>
      </c>
      <c r="D42" s="154" t="inlineStr">
        <is>
          <t>高数880启动：880高数第1批；1000B错题回做；线代880综合第3组</t>
        </is>
      </c>
      <c r="E42" s="154" t="inlineStr">
        <is>
          <t>英二精翻：2026-2027及缺口补齐；累计72篇进度核对</t>
        </is>
      </c>
      <c r="F42" s="154" t="inlineStr">
        <is>
          <t>政治：不安排</t>
        </is>
      </c>
      <c r="G42" s="154" t="inlineStr">
        <is>
          <t>822二轮：讲义+错题第1轮总复盘；每周1次长训练</t>
        </is>
      </c>
      <c r="H42" s="154" t="n"/>
      <c r="I42" s="154" t="n"/>
      <c r="J42" s="176" t="n"/>
      <c r="K42" s="154" t="n"/>
      <c r="L42" s="155" t="n"/>
    </row>
    <row r="43" ht="68" customHeight="1" s="87">
      <c r="A43" s="153" t="n">
        <v>40</v>
      </c>
      <c r="B43" s="154" t="inlineStr">
        <is>
          <t>5/3-5/9</t>
        </is>
      </c>
      <c r="C43" s="154" t="inlineStr">
        <is>
          <t>2027-05</t>
        </is>
      </c>
      <c r="D43" s="154" t="inlineStr">
        <is>
          <t>高数880：880高数第2批；A4易错点2.0；线代1000AB/李艳芳900择一试水</t>
        </is>
      </c>
      <c r="E43" s="154" t="inlineStr">
        <is>
          <t>英二精翻二轮：2010-2014错译回改；单词复习100%</t>
        </is>
      </c>
      <c r="F43" s="154" t="inlineStr">
        <is>
          <t>政治：不安排</t>
        </is>
      </c>
      <c r="G43" s="154" t="inlineStr">
        <is>
          <t>822二轮：课本题补第1批；整理高频公式</t>
        </is>
      </c>
      <c r="H43" s="154" t="n"/>
      <c r="I43" s="154" t="n"/>
      <c r="J43" s="176" t="n"/>
      <c r="K43" s="154" t="n"/>
      <c r="L43" s="155" t="n"/>
    </row>
    <row r="44" ht="68" customHeight="1" s="87">
      <c r="A44" s="153" t="n">
        <v>41</v>
      </c>
      <c r="B44" s="154" t="inlineStr">
        <is>
          <t>5/10-5/16</t>
        </is>
      </c>
      <c r="C44" s="154" t="inlineStr">
        <is>
          <t>2027-05</t>
        </is>
      </c>
      <c r="D44" s="154" t="inlineStr">
        <is>
          <t>高数880：880高数第3批；36讲框架总默写；线代错题二刷</t>
        </is>
      </c>
      <c r="E44" s="154" t="inlineStr">
        <is>
          <t>英二精翻二轮：2015-2019错译回改；长难句专题</t>
        </is>
      </c>
      <c r="F44" s="154" t="inlineStr">
        <is>
          <t>政治：不安排</t>
        </is>
      </c>
      <c r="G44" s="154" t="inlineStr">
        <is>
          <t>822二轮：课本题补第2批；错题回教材</t>
        </is>
      </c>
      <c r="H44" s="154" t="n"/>
      <c r="I44" s="154" t="n"/>
      <c r="J44" s="176" t="n"/>
      <c r="K44" s="154" t="n"/>
      <c r="L44" s="155" t="n"/>
    </row>
    <row r="45" ht="68" customHeight="1" s="87">
      <c r="A45" s="153" t="n">
        <v>42</v>
      </c>
      <c r="B45" s="154" t="inlineStr">
        <is>
          <t>5/17-5/23</t>
        </is>
      </c>
      <c r="C45" s="154" t="inlineStr">
        <is>
          <t>2027-05</t>
        </is>
      </c>
      <c r="D45" s="154" t="inlineStr">
        <is>
          <t>高数880：880高数第4批；三科混合小测；保留概率学习入口</t>
        </is>
      </c>
      <c r="E45" s="154" t="inlineStr">
        <is>
          <t>英二精翻二轮：2020-2027错译回改；形成常错句式表</t>
        </is>
      </c>
      <c r="F45" s="154" t="inlineStr">
        <is>
          <t>政治：不安排</t>
        </is>
      </c>
      <c r="G45" s="154" t="inlineStr">
        <is>
          <t>822二轮：课本题补第3批；形成专题目录</t>
        </is>
      </c>
      <c r="H45" s="154" t="n"/>
      <c r="I45" s="154" t="n"/>
      <c r="J45" s="176" t="n"/>
      <c r="K45" s="154" t="n"/>
      <c r="L45" s="155" t="n"/>
    </row>
    <row r="46" ht="68" customHeight="1" s="87">
      <c r="A46" s="153" t="n">
        <v>43</v>
      </c>
      <c r="B46" s="154" t="inlineStr">
        <is>
          <t>5/24-5/30</t>
        </is>
      </c>
      <c r="C46" s="154" t="inlineStr">
        <is>
          <t>2027-05</t>
        </is>
      </c>
      <c r="D46" s="154" t="inlineStr">
        <is>
          <t>月末验收：二次强化完成率核对；生成概率9讲学习清单</t>
        </is>
      </c>
      <c r="E46" s="154" t="inlineStr">
        <is>
          <t>月末验收：72篇精翻完成；6月中转英一阅读</t>
        </is>
      </c>
      <c r="F46" s="154" t="inlineStr">
        <is>
          <t>政治：不安排</t>
        </is>
      </c>
      <c r="G46" s="154" t="inlineStr">
        <is>
          <t>822二轮验收：6月前结束二轮基础</t>
        </is>
      </c>
      <c r="H46" s="154" t="n"/>
      <c r="I46" s="154" t="n"/>
      <c r="J46" s="176" t="n"/>
      <c r="K46" s="154" t="n"/>
      <c r="L46" s="155" t="n"/>
    </row>
    <row r="47" ht="68" customHeight="1" s="87">
      <c r="A47" s="153" t="n">
        <v>44</v>
      </c>
      <c r="B47" s="154" t="inlineStr">
        <is>
          <t>5/31-6/6</t>
        </is>
      </c>
      <c r="C47" s="154" t="inlineStr">
        <is>
          <t>2027-06</t>
        </is>
      </c>
      <c r="D47" s="154" t="inlineStr">
        <is>
          <t>概率基础：张宇9讲第1-3讲；880概率基础第1组；高数/线代错题维持</t>
        </is>
      </c>
      <c r="E47" s="154" t="inlineStr">
        <is>
          <t>英二精翻收尾：漏篇补齐；每篇错词/句法归档</t>
        </is>
      </c>
      <c r="F47" s="154" t="inlineStr">
        <is>
          <t>政治：不安排</t>
        </is>
      </c>
      <c r="G47" s="154" t="inlineStr">
        <is>
          <t>822过渡：补本习题册第1批；按08题型矩阵归类</t>
        </is>
      </c>
      <c r="H47" s="154" t="n"/>
      <c r="I47" s="154" t="n"/>
      <c r="J47" s="176" t="n"/>
      <c r="K47" s="154" t="n"/>
      <c r="L47" s="155" t="n"/>
    </row>
    <row r="48" ht="68" customHeight="1" s="87">
      <c r="A48" s="153" t="n">
        <v>45</v>
      </c>
      <c r="B48" s="154" t="inlineStr">
        <is>
          <t>6/7-6/13</t>
        </is>
      </c>
      <c r="C48" s="154" t="inlineStr">
        <is>
          <t>2027-06</t>
        </is>
      </c>
      <c r="D48" s="154" t="inlineStr">
        <is>
          <t>概率强化：张宇9讲第4-6讲；880概率基础第2组；三科混合训练</t>
        </is>
      </c>
      <c r="E48" s="154" t="inlineStr">
        <is>
          <t>英二精翻验收：72篇总复盘；阅读方法复盘</t>
        </is>
      </c>
      <c r="F48" s="154" t="inlineStr">
        <is>
          <t>政治：不安排</t>
        </is>
      </c>
      <c r="G48" s="154" t="inlineStr">
        <is>
          <t>822过渡：补本习题册第2批；错题专题回讲义</t>
        </is>
      </c>
      <c r="H48" s="154" t="n"/>
      <c r="I48" s="154" t="n"/>
      <c r="J48" s="176" t="n"/>
      <c r="K48" s="154" t="n"/>
      <c r="L48" s="155" t="n"/>
    </row>
    <row r="49" ht="68" customHeight="1" s="87">
      <c r="A49" s="153" t="n">
        <v>46</v>
      </c>
      <c r="B49" s="154" t="inlineStr">
        <is>
          <t>6/14-6/20</t>
        </is>
      </c>
      <c r="C49" s="154" t="inlineStr">
        <is>
          <t>2027-06</t>
        </is>
      </c>
      <c r="D49" s="154" t="inlineStr">
        <is>
          <t>概率强化：张宇9讲第7-9讲；880概率基础第3组；公式框架默写</t>
        </is>
      </c>
      <c r="E49" s="154" t="inlineStr">
        <is>
          <t>英一阅读启动：2010-2012阅读；保留2020/21/22最后模拟</t>
        </is>
      </c>
      <c r="F49" s="154" t="inlineStr">
        <is>
          <t>政治：不安排</t>
        </is>
      </c>
      <c r="G49" s="154" t="inlineStr">
        <is>
          <t>822过渡：补本习题册第3批；建立240习题入口</t>
        </is>
      </c>
      <c r="H49" s="154" t="n"/>
      <c r="I49" s="154" t="n"/>
      <c r="J49" s="176" t="n"/>
      <c r="K49" s="154" t="n"/>
      <c r="L49" s="155" t="n"/>
    </row>
    <row r="50" ht="68" customHeight="1" s="87">
      <c r="A50" s="153" t="n">
        <v>47</v>
      </c>
      <c r="B50" s="154" t="inlineStr">
        <is>
          <t>6/21-6/27</t>
        </is>
      </c>
      <c r="C50" s="154" t="inlineStr">
        <is>
          <t>2027-06</t>
        </is>
      </c>
      <c r="D50" s="154" t="inlineStr">
        <is>
          <t>概率收口：概率9讲+880基础复盘；整理真题阶段错题分类模板</t>
        </is>
      </c>
      <c r="E50" s="154" t="inlineStr">
        <is>
          <t>英一阅读：2013-2015阅读；每周3篇，错因写到题旁</t>
        </is>
      </c>
      <c r="F50" s="154" t="inlineStr">
        <is>
          <t>政治：不安排</t>
        </is>
      </c>
      <c r="G50" s="154" t="inlineStr">
        <is>
          <t>822过渡验收：7月芝麻研行专题强化准备</t>
        </is>
      </c>
      <c r="H50" s="154" t="n"/>
      <c r="I50" s="154" t="n"/>
      <c r="J50" s="176" t="n"/>
      <c r="K50" s="154" t="n"/>
      <c r="L50" s="155" t="n"/>
    </row>
    <row r="51" ht="68" customHeight="1" s="87">
      <c r="A51" s="153" t="n">
        <v>48</v>
      </c>
      <c r="B51" s="154" t="inlineStr">
        <is>
          <t>6/28-7/4</t>
        </is>
      </c>
      <c r="C51" s="154" t="inlineStr">
        <is>
          <t>2027-07</t>
        </is>
      </c>
      <c r="D51" s="154" t="inlineStr">
        <is>
          <t>数学综合：高数/线代/概率混合题第1批；880剩余题清单</t>
        </is>
      </c>
      <c r="E51" s="154" t="inlineStr">
        <is>
          <t>英一阅读：2016-2018阅读；每周3篇；长难句翻译</t>
        </is>
      </c>
      <c r="F51" s="154" t="inlineStr">
        <is>
          <t>政治：不安排</t>
        </is>
      </c>
      <c r="G51" s="154" t="inlineStr">
        <is>
          <t>822专题强化：芝麻研行专题1-2；课本第1遍第1批</t>
        </is>
      </c>
      <c r="H51" s="154" t="n"/>
      <c r="I51" s="154" t="n"/>
      <c r="J51" s="176" t="n"/>
      <c r="K51" s="154" t="n"/>
      <c r="L51" s="155" t="n"/>
    </row>
    <row r="52" ht="68" customHeight="1" s="87">
      <c r="A52" s="153" t="n">
        <v>49</v>
      </c>
      <c r="B52" s="154" t="inlineStr">
        <is>
          <t>7/5-7/11</t>
        </is>
      </c>
      <c r="C52" s="154" t="inlineStr">
        <is>
          <t>2027-07</t>
        </is>
      </c>
      <c r="D52" s="154" t="inlineStr">
        <is>
          <t>数学综合：混合题第2批；真题计时规范训练；草稿纸分区训练</t>
        </is>
      </c>
      <c r="E52" s="154" t="inlineStr">
        <is>
          <t>英一阅读：2019/2023/2024阅读；保留2020/21/22</t>
        </is>
      </c>
      <c r="F52" s="154" t="inlineStr">
        <is>
          <t>政治：不安排</t>
        </is>
      </c>
      <c r="G52" s="154" t="inlineStr">
        <is>
          <t>822专题强化：专题3-4；240习题册第1遍第1批</t>
        </is>
      </c>
      <c r="H52" s="154" t="n"/>
      <c r="I52" s="154" t="n"/>
      <c r="J52" s="176" t="n"/>
      <c r="K52" s="154" t="n"/>
      <c r="L52" s="155" t="n"/>
    </row>
    <row r="53" ht="68" customHeight="1" s="87">
      <c r="A53" s="153" t="n">
        <v>50</v>
      </c>
      <c r="B53" s="154" t="inlineStr">
        <is>
          <t>7/12-7/18</t>
        </is>
      </c>
      <c r="C53" s="154" t="inlineStr">
        <is>
          <t>2027-07</t>
        </is>
      </c>
      <c r="D53" s="154" t="inlineStr">
        <is>
          <t>数学综合：混合题第3批；20-26真题均分135阈值表准备</t>
        </is>
      </c>
      <c r="E53" s="154" t="inlineStr">
        <is>
          <t>三小门预备：刘琦新题型方法论约2h；完形题型初看</t>
        </is>
      </c>
      <c r="F53" s="154" t="inlineStr">
        <is>
          <t>政治：不安排</t>
        </is>
      </c>
      <c r="G53" s="154" t="inlineStr">
        <is>
          <t>822专题强化：专题5-6；240习题册第1遍第2批</t>
        </is>
      </c>
      <c r="H53" s="154" t="n"/>
      <c r="I53" s="154" t="n"/>
      <c r="J53" s="176" t="n"/>
      <c r="K53" s="154" t="n"/>
      <c r="L53" s="155" t="n"/>
    </row>
    <row r="54" ht="68" customHeight="1" s="87">
      <c r="A54" s="153" t="n">
        <v>51</v>
      </c>
      <c r="B54" s="154" t="inlineStr">
        <is>
          <t>7/19-7/25</t>
        </is>
      </c>
      <c r="C54" s="154" t="inlineStr">
        <is>
          <t>2027-07</t>
        </is>
      </c>
      <c r="D54" s="154" t="inlineStr">
        <is>
          <t>真题预备：07年真题前置专题；只补影响套卷的弱项</t>
        </is>
      </c>
      <c r="E54" s="154" t="inlineStr">
        <is>
          <t>阅读月测：阅读正确率统计；8月作文背默入口</t>
        </is>
      </c>
      <c r="F54" s="154" t="inlineStr">
        <is>
          <t>政治：不安排</t>
        </is>
      </c>
      <c r="G54" s="154" t="inlineStr">
        <is>
          <t>822专题验收：补本+课本第1遍；错题回矩阵</t>
        </is>
      </c>
      <c r="H54" s="154" t="n"/>
      <c r="I54" s="154" t="n"/>
      <c r="J54" s="176" t="n"/>
      <c r="K54" s="154" t="n"/>
      <c r="L54" s="155" t="n"/>
    </row>
    <row r="55" ht="68" customHeight="1" s="87">
      <c r="A55" s="153" t="n">
        <v>52</v>
      </c>
      <c r="B55" s="154" t="inlineStr">
        <is>
          <t>7/26-8/1</t>
        </is>
      </c>
      <c r="C55" s="154" t="inlineStr">
        <is>
          <t>2027-08</t>
        </is>
      </c>
      <c r="D55" s="154" t="inlineStr">
        <is>
          <t>真题预热：2007-2008真题拆题型；复盘解析来源固定</t>
        </is>
      </c>
      <c r="E55" s="154" t="inlineStr">
        <is>
          <t>英一阅读：剩余非保留年份阅读；秘密哥作文模板开始背默</t>
        </is>
      </c>
      <c r="F55" s="154" t="inlineStr">
        <is>
          <t>政治：不安排</t>
        </is>
      </c>
      <c r="G55" s="154" t="inlineStr">
        <is>
          <t>822强化：课本第2遍第1批；240第2遍第1批</t>
        </is>
      </c>
      <c r="H55" s="154" t="n"/>
      <c r="I55" s="154" t="n"/>
      <c r="J55" s="176" t="n"/>
      <c r="K55" s="154" t="n"/>
      <c r="L55" s="155" t="n"/>
    </row>
    <row r="56" ht="68" customHeight="1" s="87">
      <c r="A56" s="153" t="n">
        <v>53</v>
      </c>
      <c r="B56" s="154" t="inlineStr">
        <is>
          <t>8/2-8/8</t>
        </is>
      </c>
      <c r="C56" s="154" t="inlineStr">
        <is>
          <t>2027-08</t>
        </is>
      </c>
      <c r="D56" s="154" t="inlineStr">
        <is>
          <t>真题预热：2009-2010真题拆题型；回归30讲/880弱章</t>
        </is>
      </c>
      <c r="E56" s="154" t="inlineStr">
        <is>
          <t>作文：图画类第一段背默；练字句子排版；扇贝作文试改</t>
        </is>
      </c>
      <c r="F56" s="154" t="inlineStr">
        <is>
          <t>政治：不安排</t>
        </is>
      </c>
      <c r="G56" s="154" t="inlineStr">
        <is>
          <t>822强化：课本第2遍第2批；240第2遍第2批</t>
        </is>
      </c>
      <c r="H56" s="154" t="n"/>
      <c r="I56" s="154" t="n"/>
      <c r="J56" s="176" t="n"/>
      <c r="K56" s="154" t="n"/>
      <c r="L56" s="155" t="n"/>
    </row>
    <row r="57" ht="68" customHeight="1" s="87">
      <c r="A57" s="153" t="n">
        <v>54</v>
      </c>
      <c r="B57" s="154" t="inlineStr">
        <is>
          <t>8/9-8/15</t>
        </is>
      </c>
      <c r="C57" s="154" t="inlineStr">
        <is>
          <t>2027-08</t>
        </is>
      </c>
      <c r="D57" s="154" t="inlineStr">
        <is>
          <t>真题预热：2011-2012真题拆题型；整理常错计算模型</t>
        </is>
      </c>
      <c r="E57" s="154" t="inlineStr">
        <is>
          <t>作文：静态/动态类；品质类第二段；每周1篇限时</t>
        </is>
      </c>
      <c r="F57" s="154" t="inlineStr">
        <is>
          <t>政治：不安排</t>
        </is>
      </c>
      <c r="G57" s="154" t="inlineStr">
        <is>
          <t>822强化：真题开做前扫描一份；题型矩阵补源</t>
        </is>
      </c>
      <c r="H57" s="154" t="n"/>
      <c r="I57" s="154" t="n"/>
      <c r="J57" s="176" t="n"/>
      <c r="K57" s="154" t="n"/>
      <c r="L57" s="155" t="n"/>
    </row>
    <row r="58" ht="68" customHeight="1" s="87">
      <c r="A58" s="153" t="n">
        <v>55</v>
      </c>
      <c r="B58" s="154" t="inlineStr">
        <is>
          <t>8/16-8/22</t>
        </is>
      </c>
      <c r="C58" s="154" t="inlineStr">
        <is>
          <t>2027-08</t>
        </is>
      </c>
      <c r="D58" s="154" t="inlineStr">
        <is>
          <t>真题预热：2013-2014真题拆题型；开始套卷节奏记录</t>
        </is>
      </c>
      <c r="E58" s="154" t="inlineStr">
        <is>
          <t>作文：经济类第二段；正面第三段；阅读错因归并</t>
        </is>
      </c>
      <c r="F58" s="154" t="inlineStr">
        <is>
          <t>政治：不安排</t>
        </is>
      </c>
      <c r="G58" s="154" t="inlineStr">
        <is>
          <t>822强化：综合题限时；错题按模块归档</t>
        </is>
      </c>
      <c r="H58" s="154" t="n"/>
      <c r="I58" s="154" t="n"/>
      <c r="J58" s="176" t="n"/>
      <c r="K58" s="154" t="n"/>
      <c r="L58" s="155" t="n"/>
    </row>
    <row r="59" ht="68" customHeight="1" s="87">
      <c r="A59" s="153" t="n">
        <v>56</v>
      </c>
      <c r="B59" s="154" t="inlineStr">
        <is>
          <t>8/23-8/29</t>
        </is>
      </c>
      <c r="C59" s="154" t="inlineStr">
        <is>
          <t>2027-08</t>
        </is>
      </c>
      <c r="D59" s="154" t="inlineStr">
        <is>
          <t>阶段验收：数学三科框架总默写；确认9月两天一卷节奏</t>
        </is>
      </c>
      <c r="E59" s="154" t="inlineStr">
        <is>
          <t>阶段验收：英一60篇阅读完成度；作文模板默写不卡壳</t>
        </is>
      </c>
      <c r="F59" s="154" t="inlineStr">
        <is>
          <t>政治：不安排</t>
        </is>
      </c>
      <c r="G59" s="154" t="inlineStr">
        <is>
          <t>822阶段验收：9月前完成强化一遍课本、两遍240</t>
        </is>
      </c>
      <c r="H59" s="154" t="n"/>
      <c r="I59" s="154" t="n"/>
      <c r="J59" s="176" t="n"/>
      <c r="K59" s="154" t="n"/>
      <c r="L59" s="155" t="n"/>
    </row>
    <row r="60" ht="68" customHeight="1" s="87">
      <c r="A60" s="153" t="n">
        <v>57</v>
      </c>
      <c r="B60" s="154" t="inlineStr">
        <is>
          <t>8/30-9/5</t>
        </is>
      </c>
      <c r="C60" s="154" t="inlineStr">
        <is>
          <t>2027-09</t>
        </is>
      </c>
      <c r="D60" s="154" t="inlineStr">
        <is>
          <t>真题套卷：2007-2008按“两天一张”完成并复盘</t>
        </is>
      </c>
      <c r="E60" s="154" t="inlineStr">
        <is>
          <t>9/1作文正式：秘密哥模板背默；完形易熙人第1组</t>
        </is>
      </c>
      <c r="F60" s="154" t="inlineStr">
        <is>
          <t>政治启动：徐涛强化马原第1批+720；中午/路上/夜间三刷共约1h</t>
        </is>
      </c>
      <c r="G60" s="154" t="inlineStr">
        <is>
          <t>822真题一轮：真题第1批；只按题型归类，不追求快</t>
        </is>
      </c>
      <c r="H60" s="154" t="n"/>
      <c r="I60" s="154" t="n"/>
      <c r="J60" s="176" t="n"/>
      <c r="K60" s="154" t="n"/>
      <c r="L60" s="155" t="n"/>
    </row>
    <row r="61" ht="68" customHeight="1" s="87">
      <c r="A61" s="153" t="n">
        <v>58</v>
      </c>
      <c r="B61" s="154" t="inlineStr">
        <is>
          <t>9/6-9/12</t>
        </is>
      </c>
      <c r="C61" s="154" t="inlineStr">
        <is>
          <t>2027-09</t>
        </is>
      </c>
      <c r="D61" s="154" t="inlineStr">
        <is>
          <t>真题套卷：2009-2010完成；错题回讲义/880专题</t>
        </is>
      </c>
      <c r="E61" s="154" t="inlineStr">
        <is>
          <t>三小门：翻译柴荣第1组；新题型方法复盘；作文1篇</t>
        </is>
      </c>
      <c r="F61" s="154" t="inlineStr">
        <is>
          <t>徐涛强化：马原第2批+720；选择题错因按知识点标</t>
        </is>
      </c>
      <c r="G61" s="154" t="inlineStr">
        <is>
          <t>822真题一轮：真题第2批；错题回课本/240</t>
        </is>
      </c>
      <c r="H61" s="154" t="n"/>
      <c r="I61" s="154" t="n"/>
      <c r="J61" s="176" t="n"/>
      <c r="K61" s="154" t="n"/>
      <c r="L61" s="155" t="n"/>
    </row>
    <row r="62" ht="68" customHeight="1" s="87">
      <c r="A62" s="153" t="n">
        <v>59</v>
      </c>
      <c r="B62" s="154" t="inlineStr">
        <is>
          <t>9/13-9/19</t>
        </is>
      </c>
      <c r="C62" s="154" t="inlineStr">
        <is>
          <t>2027-09</t>
        </is>
      </c>
      <c r="D62" s="154" t="inlineStr">
        <is>
          <t>真题套卷：2011-2012完成；记录每套失分来源</t>
        </is>
      </c>
      <c r="E62" s="154" t="inlineStr">
        <is>
          <t>阅读二刷：错题年份第1批；作文图画/品质类各1篇</t>
        </is>
      </c>
      <c r="F62" s="154" t="inlineStr">
        <is>
          <t>徐涛强化：史纲第1批+720；大李子学练闭环</t>
        </is>
      </c>
      <c r="G62" s="154" t="inlineStr">
        <is>
          <t>822真题一轮：真题第3批；结论卡复述</t>
        </is>
      </c>
      <c r="H62" s="154" t="n"/>
      <c r="I62" s="154" t="n"/>
      <c r="J62" s="176" t="n"/>
      <c r="K62" s="154" t="n"/>
      <c r="L62" s="155" t="n"/>
    </row>
    <row r="63" ht="68" customHeight="1" s="87">
      <c r="A63" s="153" t="n">
        <v>60</v>
      </c>
      <c r="B63" s="154" t="inlineStr">
        <is>
          <t>9/20-9/26</t>
        </is>
      </c>
      <c r="C63" s="154" t="inlineStr">
        <is>
          <t>2027-09</t>
        </is>
      </c>
      <c r="D63" s="154" t="inlineStr">
        <is>
          <t>真题套卷：2013-2014完成；计算类题红笔二次检查</t>
        </is>
      </c>
      <c r="E63" s="154" t="inlineStr">
        <is>
          <t>月末验收：三小门流程固定；作文模板默写3遍</t>
        </is>
      </c>
      <c r="F63" s="154" t="inlineStr">
        <is>
          <t>史纲收口：720错题回做；南山小程序入口准备</t>
        </is>
      </c>
      <c r="G63" s="154" t="inlineStr">
        <is>
          <t>822真题一轮验收：完成强化一轮并列出二轮题型缺口</t>
        </is>
      </c>
      <c r="H63" s="154" t="n"/>
      <c r="I63" s="154" t="n"/>
      <c r="J63" s="176" t="n"/>
      <c r="K63" s="154" t="n"/>
      <c r="L63" s="155" t="n"/>
    </row>
    <row r="64" ht="68" customHeight="1" s="87">
      <c r="A64" s="153" t="n">
        <v>61</v>
      </c>
      <c r="B64" s="154" t="inlineStr">
        <is>
          <t>9/27-10/3</t>
        </is>
      </c>
      <c r="C64" s="154" t="inlineStr">
        <is>
          <t>2027-10</t>
        </is>
      </c>
      <c r="D64" s="154" t="inlineStr">
        <is>
          <t>真题/模拟轮换：2015-2016真题；若20-26均分未到135，暂不真模替换</t>
        </is>
      </c>
      <c r="E64" s="154" t="inlineStr">
        <is>
          <t>真题套卷二刷：阅读+三小门；单词复习100%；作文扇贝修改</t>
        </is>
      </c>
      <c r="F64" s="154" t="inlineStr">
        <is>
          <t>南山小程序模拟题第1批；肖八未出前只刷选择</t>
        </is>
      </c>
      <c r="G64" s="154" t="inlineStr">
        <is>
          <t>822二轮强化：真题第1-2轮第1批；100题第1组</t>
        </is>
      </c>
      <c r="H64" s="154" t="n"/>
      <c r="I64" s="154" t="n"/>
      <c r="J64" s="176" t="n"/>
      <c r="K64" s="154" t="n"/>
      <c r="L64" s="155" t="n"/>
    </row>
    <row r="65" ht="68" customHeight="1" s="87">
      <c r="A65" s="153" t="n">
        <v>62</v>
      </c>
      <c r="B65" s="154" t="inlineStr">
        <is>
          <t>10/4-10/10</t>
        </is>
      </c>
      <c r="C65" s="154" t="inlineStr">
        <is>
          <t>2027-10</t>
        </is>
      </c>
      <c r="D65" s="154" t="inlineStr">
        <is>
          <t>真题/模拟轮换：2017-2018真题；880剩余专题补漏</t>
        </is>
      </c>
      <c r="E65" s="154" t="inlineStr">
        <is>
          <t>真题套卷二刷：完形/翻译专项；作文限时2篇</t>
        </is>
      </c>
      <c r="F65" s="154" t="inlineStr">
        <is>
          <t>南山模拟第2批；马原/史纲错题专题回看</t>
        </is>
      </c>
      <c r="G65" s="154" t="inlineStr">
        <is>
          <t>822二轮强化：真题第1-2轮第2批；100题第2组</t>
        </is>
      </c>
      <c r="H65" s="154" t="n"/>
      <c r="I65" s="154" t="n"/>
      <c r="J65" s="176" t="n"/>
      <c r="K65" s="154" t="n"/>
      <c r="L65" s="155" t="n"/>
    </row>
    <row r="66" ht="68" customHeight="1" s="87">
      <c r="A66" s="153" t="n">
        <v>63</v>
      </c>
      <c r="B66" s="154" t="inlineStr">
        <is>
          <t>10/11-10/17</t>
        </is>
      </c>
      <c r="C66" s="154" t="inlineStr">
        <is>
          <t>2027-10</t>
        </is>
      </c>
      <c r="D66" s="154" t="inlineStr">
        <is>
          <t>真题/模拟轮换：2019真题+合工大1套试水；复盘不跳步</t>
        </is>
      </c>
      <c r="E66" s="154" t="inlineStr">
        <is>
          <t>真题套卷三刷：阅读错题回做；新题型专项</t>
        </is>
      </c>
      <c r="F66" s="154" t="inlineStr">
        <is>
          <t>肖八发布前冲刺选择；每天一日三刷保持</t>
        </is>
      </c>
      <c r="G66" s="154" t="inlineStr">
        <is>
          <t>822二轮强化：其他学校控制题第1批；不偏离清华题型</t>
        </is>
      </c>
      <c r="H66" s="154" t="n"/>
      <c r="I66" s="154" t="n"/>
      <c r="J66" s="176" t="n"/>
      <c r="K66" s="154" t="n"/>
      <c r="L66" s="155" t="n"/>
    </row>
    <row r="67" ht="68" customHeight="1" s="87">
      <c r="A67" s="153" t="n">
        <v>64</v>
      </c>
      <c r="B67" s="154" t="inlineStr">
        <is>
          <t>10/18-10/24</t>
        </is>
      </c>
      <c r="C67" s="154" t="inlineStr">
        <is>
          <t>2027-10</t>
        </is>
      </c>
      <c r="D67" s="154" t="inlineStr">
        <is>
          <t>真题/模拟轮换：2020真题限时；统计20-26均分入口</t>
        </is>
      </c>
      <c r="E67" s="154" t="inlineStr">
        <is>
          <t>套卷训练：按考试时间完成1套；作文模板调整</t>
        </is>
      </c>
      <c r="F67" s="154" t="inlineStr">
        <is>
          <t>肖八若发布：选择题第1轮；未发布则南山第3批</t>
        </is>
      </c>
      <c r="G67" s="154" t="inlineStr">
        <is>
          <t>822二轮强化：100题第3组；综合限时</t>
        </is>
      </c>
      <c r="H67" s="154" t="n"/>
      <c r="I67" s="154" t="n"/>
      <c r="J67" s="176" t="n"/>
      <c r="K67" s="154" t="n"/>
      <c r="L67" s="155" t="n"/>
    </row>
    <row r="68" ht="68" customHeight="1" s="87">
      <c r="A68" s="153" t="n">
        <v>65</v>
      </c>
      <c r="B68" s="154" t="inlineStr">
        <is>
          <t>10/25-10/31</t>
        </is>
      </c>
      <c r="C68" s="154" t="inlineStr">
        <is>
          <t>2027-10</t>
        </is>
      </c>
      <c r="D68" s="154" t="inlineStr">
        <is>
          <t>月末验收：若20-26均分≥135，11月开始合工大/李艳芳与真题轮换</t>
        </is>
      </c>
      <c r="E68" s="154" t="inlineStr">
        <is>
          <t>月末验收：作文大/小作文各3篇；真题错题归档</t>
        </is>
      </c>
      <c r="F68" s="154" t="inlineStr">
        <is>
          <t>月末验收：政治选择错题按模块归档</t>
        </is>
      </c>
      <c r="G68" s="154" t="inlineStr">
        <is>
          <t>822月末验收：10月前完成第二轮强化</t>
        </is>
      </c>
      <c r="H68" s="154" t="n"/>
      <c r="I68" s="154" t="n"/>
      <c r="J68" s="176" t="n"/>
      <c r="K68" s="154" t="n"/>
      <c r="L68" s="155" t="n"/>
    </row>
    <row r="69" ht="68" customHeight="1" s="87">
      <c r="A69" s="153" t="n">
        <v>66</v>
      </c>
      <c r="B69" s="154" t="inlineStr">
        <is>
          <t>11/1-11/7</t>
        </is>
      </c>
      <c r="C69" s="154" t="inlineStr">
        <is>
          <t>2027-11</t>
        </is>
      </c>
      <c r="D69" s="154" t="inlineStr">
        <is>
          <t>冲刺套卷：2021真题+合工大/李艳芳1套；两天一张</t>
        </is>
      </c>
      <c r="E69" s="154" t="inlineStr">
        <is>
          <t>套卷冲刺：保留年份前置检查；作文默写+练字</t>
        </is>
      </c>
      <c r="F69" s="154" t="inlineStr">
        <is>
          <t>肖八选择第1-2套；选择错题回教材/核心考察</t>
        </is>
      </c>
      <c r="G69" s="154" t="inlineStr">
        <is>
          <t>822冲刺：大套卷第1批；真题错题回教材</t>
        </is>
      </c>
      <c r="H69" s="154" t="n"/>
      <c r="I69" s="154" t="n"/>
      <c r="J69" s="176" t="n"/>
      <c r="K69" s="154" t="n"/>
      <c r="L69" s="155" t="n"/>
    </row>
    <row r="70" ht="68" customHeight="1" s="87">
      <c r="A70" s="153" t="n">
        <v>67</v>
      </c>
      <c r="B70" s="154" t="inlineStr">
        <is>
          <t>11/8-11/14</t>
        </is>
      </c>
      <c r="C70" s="154" t="inlineStr">
        <is>
          <t>2027-11</t>
        </is>
      </c>
      <c r="D70" s="154" t="inlineStr">
        <is>
          <t>冲刺套卷：2022真题+合工大/李艳芳1套；错题导出PDF</t>
        </is>
      </c>
      <c r="E70" s="154" t="inlineStr">
        <is>
          <t>三小门冲刺：完形/翻译/新题型各2组；单词不断</t>
        </is>
      </c>
      <c r="F70" s="154" t="inlineStr">
        <is>
          <t>肖八选择第3-4套；马原错题专题</t>
        </is>
      </c>
      <c r="G70" s="154" t="inlineStr">
        <is>
          <t>822冲刺：冲刺卷第1批；结论卡盲背</t>
        </is>
      </c>
      <c r="H70" s="154" t="n"/>
      <c r="I70" s="154" t="n"/>
      <c r="J70" s="176" t="n"/>
      <c r="K70" s="154" t="n"/>
      <c r="L70" s="155" t="n"/>
    </row>
    <row r="71" ht="68" customHeight="1" s="87">
      <c r="A71" s="153" t="n">
        <v>68</v>
      </c>
      <c r="B71" s="154" t="inlineStr">
        <is>
          <t>11/15-11/21</t>
        </is>
      </c>
      <c r="C71" s="154" t="inlineStr">
        <is>
          <t>2027-11</t>
        </is>
      </c>
      <c r="D71" s="154" t="inlineStr">
        <is>
          <t>冲刺套卷：2023-2024真题/模拟轮换；880查漏补缺</t>
        </is>
      </c>
      <c r="E71" s="154" t="inlineStr">
        <is>
          <t>作文冲刺：大作文3篇、小作文3篇；扇贝修改</t>
        </is>
      </c>
      <c r="F71" s="154" t="inlineStr">
        <is>
          <t>肖八选择第5-6套；史纲/毛中特错题专题</t>
        </is>
      </c>
      <c r="G71" s="154" t="inlineStr">
        <is>
          <t>822冲刺：大套卷第2批；计算/推导不跳步</t>
        </is>
      </c>
      <c r="H71" s="154" t="n"/>
      <c r="I71" s="154" t="n"/>
      <c r="J71" s="176" t="n"/>
      <c r="K71" s="154" t="n"/>
      <c r="L71" s="155" t="n"/>
    </row>
    <row r="72" ht="68" customHeight="1" s="87">
      <c r="A72" s="153" t="n">
        <v>69</v>
      </c>
      <c r="B72" s="154" t="inlineStr">
        <is>
          <t>11/22-11/28</t>
        </is>
      </c>
      <c r="C72" s="154" t="inlineStr">
        <is>
          <t>2027-11</t>
        </is>
      </c>
      <c r="D72" s="154" t="inlineStr">
        <is>
          <t>冲刺套卷：2025-2026真题/模拟轮换；只保留高频错因</t>
        </is>
      </c>
      <c r="E72" s="154" t="inlineStr">
        <is>
          <t>阅读冲刺：只回错题和长难句；套卷节奏稳定</t>
        </is>
      </c>
      <c r="F72" s="154" t="inlineStr">
        <is>
          <t>肖八选择第7-8套；主观题背诵入口</t>
        </is>
      </c>
      <c r="G72" s="154" t="inlineStr">
        <is>
          <t>822冲刺：真题高频题型最后归档</t>
        </is>
      </c>
      <c r="H72" s="154" t="n"/>
      <c r="I72" s="154" t="n"/>
      <c r="J72" s="176" t="n"/>
      <c r="K72" s="154" t="n"/>
      <c r="L72" s="155" t="n"/>
    </row>
    <row r="73" ht="68" customHeight="1" s="87">
      <c r="A73" s="153" t="n">
        <v>70</v>
      </c>
      <c r="B73" s="154" t="inlineStr">
        <is>
          <t>11/29-12/5</t>
        </is>
      </c>
      <c r="C73" s="154" t="inlineStr">
        <is>
          <t>2027-12</t>
        </is>
      </c>
      <c r="D73" s="154" t="inlineStr">
        <is>
          <t>考前真题：12/1做2016年；12/6做2017年；其余只看错题和框架</t>
        </is>
      </c>
      <c r="E73" s="154" t="inlineStr">
        <is>
          <t>考前真题：12/1做2016年；单词+作文模板维持</t>
        </is>
      </c>
      <c r="F73" s="154" t="inlineStr">
        <is>
          <t>肖四选择+主观题第1轮；大牙/帕拉迪宇材料方法</t>
        </is>
      </c>
      <c r="G73" s="154" t="inlineStr">
        <is>
          <t>822考前：大套卷/真题最后1轮；只看公式、结论、标注错题</t>
        </is>
      </c>
      <c r="H73" s="154" t="n"/>
      <c r="I73" s="154" t="n"/>
      <c r="J73" s="176" t="n"/>
      <c r="K73" s="154" t="n"/>
      <c r="L73" s="155" t="n"/>
    </row>
    <row r="74" ht="68" customHeight="1" s="87">
      <c r="A74" s="153" t="n">
        <v>71</v>
      </c>
      <c r="B74" s="154" t="inlineStr">
        <is>
          <t>12/6-12/12</t>
        </is>
      </c>
      <c r="C74" s="154" t="inlineStr">
        <is>
          <t>2027-12</t>
        </is>
      </c>
      <c r="D74" s="154" t="inlineStr">
        <is>
          <t>考前真题：12/13做2018年；红笔复查计算量大题</t>
        </is>
      </c>
      <c r="E74" s="154" t="inlineStr">
        <is>
          <t>考前真题：12/6做2017年；作文默写不改大框架</t>
        </is>
      </c>
      <c r="F74" s="154" t="inlineStr">
        <is>
          <t>肖四主观题第2轮；选择题错题只看高频</t>
        </is>
      </c>
      <c r="G74" s="154" t="inlineStr">
        <is>
          <t>822考前：冲刺卷错题回看；停止开新学校题</t>
        </is>
      </c>
      <c r="H74" s="154" t="n"/>
      <c r="I74" s="154" t="n"/>
      <c r="J74" s="176" t="n"/>
      <c r="K74" s="154" t="n"/>
      <c r="L74" s="155" t="n"/>
    </row>
    <row r="75" ht="68" customHeight="1" s="87">
      <c r="A75" s="156" t="n">
        <v>72</v>
      </c>
      <c r="B75" s="157" t="inlineStr">
        <is>
          <t>12/13-12/19</t>
        </is>
      </c>
      <c r="C75" s="157" t="inlineStr">
        <is>
          <t>2027-12</t>
        </is>
      </c>
      <c r="D75" s="157" t="inlineStr">
        <is>
          <t>考前收束：停止开新资料；复盘公式/结论/标注错题；12/18-19初试</t>
        </is>
      </c>
      <c r="E75" s="157" t="inlineStr">
        <is>
          <t>考前真题：12/13做2018年；停止新题，只看错题/模板</t>
        </is>
      </c>
      <c r="F75" s="157" t="inlineStr">
        <is>
          <t>考前背诵：肖四主观题框架；政治一日三刷不断</t>
        </is>
      </c>
      <c r="G75" s="157" t="inlineStr">
        <is>
          <t>822收束：结论卡+草稿规范；12/18-19初试</t>
        </is>
      </c>
      <c r="H75" s="157" t="n"/>
      <c r="I75" s="157" t="n"/>
      <c r="J75" s="177" t="n"/>
      <c r="K75" s="157" t="n"/>
      <c r="L75" s="158" t="n"/>
    </row>
  </sheetData>
  <mergeCells count="3">
    <mergeCell ref="A1:J1"/>
    <mergeCell ref="A2:L2"/>
    <mergeCell ref="A1:L1"/>
  </mergeCells>
  <dataValidations count="2">
    <dataValidation sqref="D4:G75" showDropDown="0" showInputMessage="0" showErrorMessage="0" allowBlank="0" type="decimal">
      <formula1>0</formula1>
      <formula2>1</formula2>
    </dataValidation>
    <dataValidation sqref="I4:I75" showDropDown="0" showInputMessage="0" showErrorMessage="0" allowBlank="0" type="whole">
      <formula1>0</formula1>
      <formula2>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10" defaultColWidth="8.83203125" defaultRowHeight="14"/>
  <cols>
    <col width="16" customWidth="1" style="87" min="1" max="1"/>
    <col width="24" customWidth="1" style="87" min="2" max="2"/>
    <col width="36" customWidth="1" style="87" min="3" max="3"/>
    <col width="13" customWidth="1" style="87" min="4" max="4"/>
    <col width="20" customWidth="1" style="87" min="5" max="5"/>
    <col width="22" customWidth="1" style="87" min="6" max="6"/>
    <col width="24" customWidth="1" style="87" min="7" max="7"/>
    <col width="30" customWidth="1" style="87" min="8" max="8"/>
  </cols>
  <sheetData>
    <row r="1" ht="30" customHeight="1" s="87">
      <c r="A1" s="191" t="inlineStr">
        <is>
          <t>07｜执行规则（详细）｜错题、草稿、A4、练字、政治节奏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</row>
    <row r="3" ht="28" customHeight="1" s="87">
      <c r="A3" s="126" t="inlineStr">
        <is>
          <t>模块</t>
        </is>
      </c>
      <c r="B3" s="127" t="inlineStr">
        <is>
          <t>触发条件</t>
        </is>
      </c>
      <c r="C3" s="127" t="inlineStr">
        <is>
          <t>具体动作</t>
        </is>
      </c>
      <c r="D3" s="127" t="inlineStr">
        <is>
          <t>频率</t>
        </is>
      </c>
      <c r="E3" s="127" t="inlineStr">
        <is>
          <t>记录方式</t>
        </is>
      </c>
      <c r="F3" s="127" t="inlineStr">
        <is>
          <t>验收标准</t>
        </is>
      </c>
      <c r="G3" s="127" t="inlineStr">
        <is>
          <t>不要做</t>
        </is>
      </c>
      <c r="H3" s="128" t="inlineStr">
        <is>
          <t>备注</t>
        </is>
      </c>
    </row>
    <row r="4" ht="54" customHeight="1" s="87">
      <c r="A4" s="153" t="inlineStr">
        <is>
          <t>数学1000A分流</t>
        </is>
      </c>
      <c r="B4" s="154" t="inlineStr">
        <is>
          <t>1000A正确率&gt;50%</t>
        </is>
      </c>
      <c r="C4" s="154" t="inlineStr">
        <is>
          <t>继续30讲+1000A同步推进</t>
        </is>
      </c>
      <c r="D4" s="154" t="inlineStr">
        <is>
          <t>每章</t>
        </is>
      </c>
      <c r="E4" s="154" t="inlineStr">
        <is>
          <t>题册直接标注</t>
        </is>
      </c>
      <c r="F4" s="154" t="inlineStr">
        <is>
          <t>章节正确率稳定上升</t>
        </is>
      </c>
      <c r="G4" s="154" t="inlineStr">
        <is>
          <t>盲目开太多课</t>
        </is>
      </c>
      <c r="H4" s="155" t="inlineStr">
        <is>
          <t>达不到则先回讲义题</t>
        </is>
      </c>
    </row>
    <row r="5" ht="54" customHeight="1" s="87">
      <c r="A5" s="153" t="inlineStr">
        <is>
          <t>数学降级规则</t>
        </is>
      </c>
      <c r="B5" s="154" t="inlineStr">
        <is>
          <t>1000A正确率≤50%</t>
        </is>
      </c>
      <c r="C5" s="154" t="inlineStr">
        <is>
          <t>只做讲义题与例题，先把基本计算打稳</t>
        </is>
      </c>
      <c r="D5" s="154" t="inlineStr">
        <is>
          <t>即时</t>
        </is>
      </c>
      <c r="E5" s="154" t="inlineStr">
        <is>
          <t>标注薄弱章</t>
        </is>
      </c>
      <c r="F5" s="154" t="inlineStr">
        <is>
          <t>下周同类题能独立做出</t>
        </is>
      </c>
      <c r="G5" s="154" t="inlineStr">
        <is>
          <t>硬刷新题</t>
        </is>
      </c>
      <c r="H5" s="155" t="inlineStr">
        <is>
          <t>宁可慢一点，不让错因滚雪球</t>
        </is>
      </c>
    </row>
    <row r="6" ht="54" customHeight="1" s="87">
      <c r="A6" s="153" t="inlineStr">
        <is>
          <t>每日错题</t>
        </is>
      </c>
      <c r="B6" s="154" t="inlineStr">
        <is>
          <t>每天数学结束前</t>
        </is>
      </c>
      <c r="C6" s="154" t="inlineStr">
        <is>
          <t>至少回做10道错题或同类错题</t>
        </is>
      </c>
      <c r="D6" s="154" t="inlineStr">
        <is>
          <t>每日</t>
        </is>
      </c>
      <c r="E6" s="154" t="inlineStr">
        <is>
          <t>题册符号标记</t>
        </is>
      </c>
      <c r="F6" s="154" t="inlineStr">
        <is>
          <t>错因能说清</t>
        </is>
      </c>
      <c r="G6" s="154" t="inlineStr">
        <is>
          <t>单独抄厚错题本</t>
        </is>
      </c>
      <c r="H6" s="155" t="inlineStr">
        <is>
          <t>好题可扫描归档</t>
        </is>
      </c>
    </row>
    <row r="7" ht="54" customHeight="1" s="87">
      <c r="A7" s="153" t="inlineStr">
        <is>
          <t>A4大法</t>
        </is>
      </c>
      <c r="B7" s="154" t="inlineStr">
        <is>
          <t>1000A一刷正确率≥60%</t>
        </is>
      </c>
      <c r="C7" s="154" t="inlineStr">
        <is>
          <t>看完讲义后默写框架；铅笔写，黑笔补漏纠错，红笔只标重点</t>
        </is>
      </c>
      <c r="D7" s="154" t="inlineStr">
        <is>
          <t>每讲约30分钟</t>
        </is>
      </c>
      <c r="E7" s="154" t="inlineStr">
        <is>
          <t>活页夹/圆环固定</t>
        </is>
      </c>
      <c r="F7" s="154" t="inlineStr">
        <is>
          <t>能复述二级结论和易错点</t>
        </is>
      </c>
      <c r="G7" s="154" t="inlineStr">
        <is>
          <t>机械抄书</t>
        </is>
      </c>
      <c r="H7" s="155" t="inlineStr">
        <is>
          <t>用于题型、结论、易错点</t>
        </is>
      </c>
    </row>
    <row r="8" ht="54" customHeight="1" s="87">
      <c r="A8" s="153" t="inlineStr">
        <is>
          <t>草稿纸</t>
        </is>
      </c>
      <c r="B8" s="154" t="inlineStr">
        <is>
          <t>所有计算题/套卷</t>
        </is>
      </c>
      <c r="C8" s="154" t="inlineStr">
        <is>
          <t>一块一块写，保留思路，不跳步骤</t>
        </is>
      </c>
      <c r="D8" s="154" t="inlineStr">
        <is>
          <t>每题</t>
        </is>
      </c>
      <c r="E8" s="154" t="inlineStr">
        <is>
          <t>草稿随卷扫描</t>
        </is>
      </c>
      <c r="F8" s="154" t="inlineStr">
        <is>
          <t>回看能复盘步骤</t>
        </is>
      </c>
      <c r="G8" s="154" t="inlineStr">
        <is>
          <t>乱跳、挤写</t>
        </is>
      </c>
      <c r="H8" s="155" t="inlineStr">
        <is>
          <t>训练考试节奏</t>
        </is>
      </c>
    </row>
    <row r="9" ht="54" customHeight="1" s="87">
      <c r="A9" s="153" t="inlineStr">
        <is>
          <t>检查机制</t>
        </is>
      </c>
      <c r="B9" s="154" t="inlineStr">
        <is>
          <t>每题完成后</t>
        </is>
      </c>
      <c r="C9" s="154" t="inlineStr">
        <is>
          <t>15-40秒检查；全卷后红笔重算计算量大和不确定题</t>
        </is>
      </c>
      <c r="D9" s="154" t="inlineStr">
        <is>
          <t>每日/每卷</t>
        </is>
      </c>
      <c r="E9" s="154" t="inlineStr">
        <is>
          <t>红笔留痕</t>
        </is>
      </c>
      <c r="F9" s="154" t="inlineStr">
        <is>
          <t>低级失误下降</t>
        </is>
      </c>
      <c r="G9" s="154" t="inlineStr">
        <is>
          <t>做完就丢</t>
        </is>
      </c>
      <c r="H9" s="155" t="inlineStr">
        <is>
          <t>模拟时按考试时间执行</t>
        </is>
      </c>
    </row>
    <row r="10" ht="54" customHeight="1" s="87">
      <c r="A10" s="153" t="inlineStr">
        <is>
          <t>套卷归档</t>
        </is>
      </c>
      <c r="B10" s="154" t="inlineStr">
        <is>
          <t>真题/模拟完成后</t>
        </is>
      </c>
      <c r="C10" s="154" t="inlineStr">
        <is>
          <t>扫描保存整卷、草稿、批改结果</t>
        </is>
      </c>
      <c r="D10" s="154" t="inlineStr">
        <is>
          <t>每套</t>
        </is>
      </c>
      <c r="E10" s="154" t="inlineStr">
        <is>
          <t>PDF/图片归档</t>
        </is>
      </c>
      <c r="F10" s="154" t="inlineStr">
        <is>
          <t>能按题型回查</t>
        </is>
      </c>
      <c r="G10" s="154" t="inlineStr">
        <is>
          <t>只看分数</t>
        </is>
      </c>
      <c r="H10" s="155" t="inlineStr">
        <is>
          <t>扣考点练习</t>
        </is>
      </c>
    </row>
    <row r="11" ht="54" customHeight="1" s="87">
      <c r="A11" s="153" t="inlineStr">
        <is>
          <t>错题符号</t>
        </is>
      </c>
      <c r="B11" s="154" t="inlineStr">
        <is>
          <t>练习题册标注</t>
        </is>
      </c>
      <c r="C11" s="154" t="inlineStr">
        <is>
          <t>圆圈=不会；方框=计算错误；五角星=好题；三角形=知识点遗漏</t>
        </is>
      </c>
      <c r="D11" s="154" t="inlineStr">
        <is>
          <t>即时</t>
        </is>
      </c>
      <c r="E11" s="154" t="inlineStr">
        <is>
          <t>题册符号</t>
        </is>
      </c>
      <c r="F11" s="154" t="inlineStr">
        <is>
          <t>一眼看出错误类型</t>
        </is>
      </c>
      <c r="G11" s="154" t="inlineStr">
        <is>
          <t>重新造复杂体系</t>
        </is>
      </c>
      <c r="H11" s="155" t="inlineStr">
        <is>
          <t>保持简单稳定</t>
        </is>
      </c>
    </row>
    <row r="12" ht="54" customHeight="1" s="87">
      <c r="A12" s="153" t="inlineStr">
        <is>
          <t>每日复盘</t>
        </is>
      </c>
      <c r="B12" s="154" t="inlineStr">
        <is>
          <t>22:00-22:40</t>
        </is>
      </c>
      <c r="C12" s="154" t="inlineStr">
        <is>
          <t>记录题量、正确率、错因、明日欠账</t>
        </is>
      </c>
      <c r="D12" s="154" t="inlineStr">
        <is>
          <t>每日</t>
        </is>
      </c>
      <c r="E12" s="154" t="inlineStr">
        <is>
          <t>06周复盘/简表</t>
        </is>
      </c>
      <c r="F12" s="154" t="inlineStr">
        <is>
          <t>第二天任务可执行</t>
        </is>
      </c>
      <c r="G12" s="154" t="inlineStr">
        <is>
          <t>写长篇日记</t>
        </is>
      </c>
      <c r="H12" s="155" t="inlineStr">
        <is>
          <t>只抓指标</t>
        </is>
      </c>
    </row>
    <row r="13" ht="54" customHeight="1" s="87">
      <c r="A13" s="153" t="inlineStr">
        <is>
          <t>政治刷题</t>
        </is>
      </c>
      <c r="B13" s="154" t="inlineStr">
        <is>
          <t>2027年9月后</t>
        </is>
      </c>
      <c r="C13" s="154" t="inlineStr">
        <is>
          <t>中午后、回宿舍路上、去图书馆路上一日三刷，总计约1h</t>
        </is>
      </c>
      <c r="D13" s="154" t="inlineStr">
        <is>
          <t>每日</t>
        </is>
      </c>
      <c r="E13" s="154" t="inlineStr">
        <is>
          <t>小程序/720记录</t>
        </is>
      </c>
      <c r="F13" s="154" t="inlineStr">
        <is>
          <t>选择题稳定</t>
        </is>
      </c>
      <c r="G13" s="154" t="inlineStr">
        <is>
          <t>过早挤占主科</t>
        </is>
      </c>
      <c r="H13" s="155" t="inlineStr">
        <is>
          <t>9月前不主投</t>
        </is>
      </c>
    </row>
    <row r="14" ht="54" customHeight="1" s="87">
      <c r="A14" s="153" t="inlineStr">
        <is>
          <t>英语练字</t>
        </is>
      </c>
      <c r="B14" s="154" t="inlineStr">
        <is>
          <t>作文准备期</t>
        </is>
      </c>
      <c r="C14" s="154" t="inlineStr">
        <is>
          <t>衡水体：笔画→单词→句子→段落；政治也练排版</t>
        </is>
      </c>
      <c r="D14" s="154" t="inlineStr">
        <is>
          <t>每周3-5次</t>
        </is>
      </c>
      <c r="E14" s="154" t="inlineStr">
        <is>
          <t>样张留存</t>
        </is>
      </c>
      <c r="F14" s="154" t="inlineStr">
        <is>
          <t>卷面清爽稳定</t>
        </is>
      </c>
      <c r="G14" s="154" t="inlineStr">
        <is>
          <t>只背不写</t>
        </is>
      </c>
      <c r="H14" s="155" t="inlineStr">
        <is>
          <t>8月可开始作文背默</t>
        </is>
      </c>
    </row>
    <row r="15" ht="54" customHeight="1" s="87">
      <c r="A15" s="153" t="inlineStr">
        <is>
          <t>答题卡</t>
        </is>
      </c>
      <c r="B15" s="154" t="inlineStr">
        <is>
          <t>强化后期/套卷期</t>
        </is>
      </c>
      <c r="C15" s="154" t="inlineStr">
        <is>
          <t>买真答题卡训练排版与时间</t>
        </is>
      </c>
      <c r="D15" s="154" t="inlineStr">
        <is>
          <t>每周</t>
        </is>
      </c>
      <c r="E15" s="154" t="inlineStr">
        <is>
          <t>保留样卷</t>
        </is>
      </c>
      <c r="F15" s="154" t="inlineStr">
        <is>
          <t>格式稳定不超格</t>
        </is>
      </c>
      <c r="G15" s="154" t="inlineStr">
        <is>
          <t>只在草稿纸上练</t>
        </is>
      </c>
      <c r="H15" s="155" t="inlineStr">
        <is>
          <t>数学、英语、政治、822分科训练</t>
        </is>
      </c>
    </row>
    <row r="16" ht="54" customHeight="1" s="87">
      <c r="A16" s="156" t="inlineStr">
        <is>
          <t>周复盘</t>
        </is>
      </c>
      <c r="B16" s="157" t="inlineStr">
        <is>
          <t>每周日</t>
        </is>
      </c>
      <c r="C16" s="157" t="inlineStr">
        <is>
          <t>四科完成率、正确率、题量、欠账清单；下周新内容按欠账调整</t>
        </is>
      </c>
      <c r="D16" s="157" t="inlineStr">
        <is>
          <t>每周</t>
        </is>
      </c>
      <c r="E16" s="157" t="inlineStr">
        <is>
          <t>06周复盘打卡</t>
        </is>
      </c>
      <c r="F16" s="157" t="inlineStr">
        <is>
          <t>完成率≥80%</t>
        </is>
      </c>
      <c r="G16" s="157" t="inlineStr">
        <is>
          <t>欠账不处理继续加码</t>
        </is>
      </c>
      <c r="H16" s="158" t="inlineStr">
        <is>
          <t>月度页自动汇总周度页</t>
        </is>
      </c>
    </row>
    <row r="17">
      <c r="A17" s="108" t="n"/>
      <c r="B17" s="108" t="n"/>
      <c r="C17" s="108" t="n"/>
      <c r="D17" s="108" t="n"/>
      <c r="E17" s="108" t="n"/>
      <c r="F17" s="108" t="n"/>
      <c r="G17" s="108" t="n"/>
      <c r="H17" s="108" t="n"/>
    </row>
    <row r="18">
      <c r="A18" s="180" t="inlineStr">
        <is>
          <t>补充阈值：以下规则用于决定“继续推进/暂停补弱/进入套卷”。</t>
        </is>
      </c>
    </row>
    <row r="19">
      <c r="A19" s="126" t="inlineStr">
        <is>
          <t>科目</t>
        </is>
      </c>
      <c r="B19" s="127" t="inlineStr">
        <is>
          <t>阶段</t>
        </is>
      </c>
      <c r="C19" s="127" t="inlineStr">
        <is>
          <t>继续推进条件</t>
        </is>
      </c>
      <c r="D19" s="127" t="inlineStr">
        <is>
          <t>暂停/降级条件</t>
        </is>
      </c>
      <c r="E19" s="127" t="inlineStr">
        <is>
          <t>降级动作</t>
        </is>
      </c>
      <c r="F19" s="127" t="inlineStr">
        <is>
          <t>记录位置</t>
        </is>
      </c>
      <c r="G19" s="127" t="inlineStr">
        <is>
          <t>复盘频率</t>
        </is>
      </c>
      <c r="H19" s="128" t="inlineStr">
        <is>
          <t>备注</t>
        </is>
      </c>
    </row>
    <row r="20" ht="54" customHeight="1" s="87">
      <c r="A20" s="153" t="inlineStr">
        <is>
          <t>数学</t>
        </is>
      </c>
      <c r="B20" s="154" t="inlineStr">
        <is>
          <t>1000A/讲义阶段</t>
        </is>
      </c>
      <c r="C20" s="154" t="inlineStr">
        <is>
          <t>1000A正确率&gt;50%；≥60%可启A4</t>
        </is>
      </c>
      <c r="D20" s="154" t="inlineStr">
        <is>
          <t>≤50%或同类错因连续出现</t>
        </is>
      </c>
      <c r="E20" s="154" t="inlineStr">
        <is>
          <t>只做讲义题和例题，同类题补5-10道</t>
        </is>
      </c>
      <c r="F20" s="154" t="inlineStr">
        <is>
          <t>03/06/07</t>
        </is>
      </c>
      <c r="G20" s="154" t="inlineStr">
        <is>
          <t>每章/每周</t>
        </is>
      </c>
      <c r="H20" s="155" t="inlineStr">
        <is>
          <t>不要靠刷量掩盖基础断点</t>
        </is>
      </c>
    </row>
    <row r="21" ht="54" customHeight="1" s="87">
      <c r="A21" s="153" t="inlineStr">
        <is>
          <t>数学</t>
        </is>
      </c>
      <c r="B21" s="154" t="inlineStr">
        <is>
          <t>真题模拟阶段</t>
        </is>
      </c>
      <c r="C21" s="154" t="inlineStr">
        <is>
          <t>2020-2026真题均分≥135后再真模替换</t>
        </is>
      </c>
      <c r="D21" s="154" t="inlineStr">
        <is>
          <t>均分&lt;135或计算错多</t>
        </is>
      </c>
      <c r="E21" s="154" t="inlineStr">
        <is>
          <t>回讲义/880专题，不开新模拟卷</t>
        </is>
      </c>
      <c r="F21" s="154" t="inlineStr">
        <is>
          <t>06周复盘</t>
        </is>
      </c>
      <c r="G21" s="154" t="inlineStr">
        <is>
          <t>每套卷</t>
        </is>
      </c>
      <c r="H21" s="155" t="inlineStr">
        <is>
          <t>两天一张：做卷+复盘</t>
        </is>
      </c>
    </row>
    <row r="22" ht="54" customHeight="1" s="87">
      <c r="A22" s="153" t="inlineStr">
        <is>
          <t>英语</t>
        </is>
      </c>
      <c r="B22" s="154" t="inlineStr">
        <is>
          <t>阅读/精翻阶段</t>
        </is>
      </c>
      <c r="C22" s="154" t="inlineStr">
        <is>
          <t>精翻有译文、错词、长难句；阅读错因能归类</t>
        </is>
      </c>
      <c r="D22" s="154" t="inlineStr">
        <is>
          <t>只做题不翻译/不复盘</t>
        </is>
      </c>
      <c r="E22" s="154" t="inlineStr">
        <is>
          <t>减少新篇数，补精翻和长难句</t>
        </is>
      </c>
      <c r="F22" s="154" t="inlineStr">
        <is>
          <t>06周复盘</t>
        </is>
      </c>
      <c r="G22" s="154" t="inlineStr">
        <is>
          <t>每周</t>
        </is>
      </c>
      <c r="H22" s="155" t="inlineStr">
        <is>
          <t>单词复习任务必须先完成</t>
        </is>
      </c>
    </row>
    <row r="23" ht="54" customHeight="1" s="87">
      <c r="A23" s="153" t="inlineStr">
        <is>
          <t>英语</t>
        </is>
      </c>
      <c r="B23" s="154" t="inlineStr">
        <is>
          <t>作文阶段</t>
        </is>
      </c>
      <c r="C23" s="154" t="inlineStr">
        <is>
          <t>模板能默写；每周至少1篇输出</t>
        </is>
      </c>
      <c r="D23" s="154" t="inlineStr">
        <is>
          <t>只背不写或字迹失控</t>
        </is>
      </c>
      <c r="E23" s="154" t="inlineStr">
        <is>
          <t>回到句子/段落练字和扇贝修改</t>
        </is>
      </c>
      <c r="F23" s="154" t="inlineStr">
        <is>
          <t>06周复盘</t>
        </is>
      </c>
      <c r="G23" s="154" t="inlineStr">
        <is>
          <t>每周</t>
        </is>
      </c>
      <c r="H23" s="155" t="inlineStr">
        <is>
          <t>8月开始背默，9月正式输出</t>
        </is>
      </c>
    </row>
    <row r="24" ht="54" customHeight="1" s="87">
      <c r="A24" s="153" t="inlineStr">
        <is>
          <t>822</t>
        </is>
      </c>
      <c r="B24" s="154" t="inlineStr">
        <is>
          <t>专题/真题阶段</t>
        </is>
      </c>
      <c r="C24" s="154" t="inlineStr">
        <is>
          <t>每个模块有结论卡、题型卡、对应错题</t>
        </is>
      </c>
      <c r="D24" s="154" t="inlineStr">
        <is>
          <t>只会看答案不会独立推导</t>
        </is>
      </c>
      <c r="E24" s="154" t="inlineStr">
        <is>
          <t>回课本/讲义/240同类题</t>
        </is>
      </c>
      <c r="F24" s="154" t="inlineStr">
        <is>
          <t>08题型矩阵</t>
        </is>
      </c>
      <c r="G24" s="154" t="inlineStr">
        <is>
          <t>每周</t>
        </is>
      </c>
      <c r="H24" s="155" t="inlineStr">
        <is>
          <t>专业课靠题型反应速度</t>
        </is>
      </c>
    </row>
    <row r="25" ht="54" customHeight="1" s="87">
      <c r="A25" s="153" t="inlineStr">
        <is>
          <t>政治</t>
        </is>
      </c>
      <c r="B25" s="154" t="inlineStr">
        <is>
          <t>9月后</t>
        </is>
      </c>
      <c r="C25" s="154" t="inlineStr">
        <is>
          <t>一日三刷总计约1h；选择错题能回知识点</t>
        </is>
      </c>
      <c r="D25" s="154" t="inlineStr">
        <is>
          <t>挤占数学/822主块</t>
        </is>
      </c>
      <c r="E25" s="154" t="inlineStr">
        <is>
          <t>只保留路上/饭后碎片刷题</t>
        </is>
      </c>
      <c r="F25" s="154" t="inlineStr">
        <is>
          <t>06周复盘</t>
        </is>
      </c>
      <c r="G25" s="154" t="inlineStr">
        <is>
          <t>每日/每周</t>
        </is>
      </c>
      <c r="H25" s="155" t="inlineStr">
        <is>
          <t>9月前不主投</t>
        </is>
      </c>
    </row>
    <row r="26" ht="54" customHeight="1" s="87">
      <c r="A26" s="156" t="inlineStr">
        <is>
          <t>总体</t>
        </is>
      </c>
      <c r="B26" s="157" t="inlineStr">
        <is>
          <t>周复盘</t>
        </is>
      </c>
      <c r="C26" s="157" t="inlineStr">
        <is>
          <t>四科完成率≥80%</t>
        </is>
      </c>
      <c r="D26" s="157" t="inlineStr">
        <is>
          <t>&lt;70%</t>
        </is>
      </c>
      <c r="E26" s="157" t="inlineStr">
        <is>
          <t>下周新内容减20%，先还欠账</t>
        </is>
      </c>
      <c r="F26" s="157" t="inlineStr">
        <is>
          <t>06周复盘</t>
        </is>
      </c>
      <c r="G26" s="157" t="inlineStr">
        <is>
          <t>每周日</t>
        </is>
      </c>
      <c r="H26" s="158" t="inlineStr">
        <is>
          <t>完成率按任务块，不按坐馆时长</t>
        </is>
      </c>
    </row>
  </sheetData>
  <mergeCells count="3">
    <mergeCell ref="A18:H18"/>
    <mergeCell ref="A1:F1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10" defaultColWidth="8.83203125" defaultRowHeight="14"/>
  <cols>
    <col width="28" customWidth="1" style="87" min="1" max="1"/>
    <col width="56" customWidth="1" style="87" min="2" max="2"/>
    <col width="36" customWidth="1" style="87" min="3" max="3"/>
    <col width="28" customWidth="1" style="87" min="4" max="4"/>
    <col width="14" customWidth="1" style="87" min="5" max="5"/>
    <col width="32" customWidth="1" style="87" min="6" max="6"/>
    <col width="40" customWidth="1" style="87" min="7" max="7"/>
    <col width="32" customWidth="1" style="87" min="8" max="8"/>
  </cols>
  <sheetData>
    <row r="1" ht="17" customHeight="1" s="87">
      <c r="A1" s="125" t="inlineStr">
        <is>
          <t>09｜复试准备附表（详细）｜专业综合+英语听说+综合面试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</row>
    <row r="3" ht="15" customHeight="1" s="87">
      <c r="A3" s="126" t="inlineStr">
        <is>
          <t>核对项</t>
        </is>
      </c>
      <c r="B3" s="127" t="inlineStr">
        <is>
          <t>目前可确认的信息</t>
        </is>
      </c>
      <c r="C3" s="127" t="inlineStr">
        <is>
          <t>你要准备的内容</t>
        </is>
      </c>
      <c r="D3" s="127" t="inlineStr">
        <is>
          <t>建议开始时间</t>
        </is>
      </c>
      <c r="E3" s="127" t="inlineStr">
        <is>
          <t>强度</t>
        </is>
      </c>
      <c r="F3" s="127" t="inlineStr">
        <is>
          <t>验收标准</t>
        </is>
      </c>
      <c r="G3" s="127" t="inlineStr">
        <is>
          <t>信息来源</t>
        </is>
      </c>
      <c r="H3" s="128" t="inlineStr">
        <is>
          <t>重要提醒</t>
        </is>
      </c>
    </row>
    <row r="4" ht="78" customHeight="1" s="87">
      <c r="A4" s="153" t="inlineStr">
        <is>
          <t>复试专业综合考试</t>
        </is>
      </c>
      <c r="B4" s="154" t="inlineStr">
        <is>
          <t>车辆与运载学院近年车辆工程/车辆领域目录列出：汽车理论与设计、控制工程基础、应用电子学</t>
        </is>
      </c>
      <c r="C4" s="154" t="inlineStr">
        <is>
          <t>汽车理论核心章节；控制工程基础（与822衔接）；应用电子学基础概念/典型电路</t>
        </is>
      </c>
      <c r="D4" s="154" t="inlineStr">
        <is>
          <t>2027年9月起轻量铺垫；初试后集中</t>
        </is>
      </c>
      <c r="E4" s="154" t="inlineStr">
        <is>
          <t>初试前每周1-2小时；初试后每日2-3小时</t>
        </is>
      </c>
      <c r="F4" s="154" t="inlineStr">
        <is>
          <t>能完成专业综合题框架，能口头解释核心概念</t>
        </is>
      </c>
      <c r="G4" s="154" t="inlineStr">
        <is>
          <t>清华车辆与运载学院历年招生目录</t>
        </is>
      </c>
      <c r="H4" s="155" t="inlineStr">
        <is>
          <t>2027目录可能调整，最终以当年目录/复试细则为准</t>
        </is>
      </c>
    </row>
    <row r="5" ht="78" customHeight="1" s="87">
      <c r="A5" s="153" t="inlineStr">
        <is>
          <t>英语听说</t>
        </is>
      </c>
      <c r="B5" s="154" t="inlineStr">
        <is>
          <t>2024车辆与运载学院复试细则写明面试含英语听说测试约2分钟</t>
        </is>
      </c>
      <c r="C5" s="154" t="inlineStr">
        <is>
          <t>自我介绍；本科课程/项目；报考动机；车辆控制方向英文问答</t>
        </is>
      </c>
      <c r="D5" s="154" t="inlineStr">
        <is>
          <t>2027年10月起每周1次；初试后每日20-30分钟</t>
        </is>
      </c>
      <c r="E5" s="154" t="inlineStr">
        <is>
          <t>初试前低强度；初试后集中输出</t>
        </is>
      </c>
      <c r="F5" s="154" t="inlineStr">
        <is>
          <t>2分钟英文自述不卡顿；能回答常见专业问题</t>
        </is>
      </c>
      <c r="G5" s="154" t="inlineStr">
        <is>
          <t>车辆与运载学院2024复试录取实施细则</t>
        </is>
      </c>
      <c r="H5" s="155" t="inlineStr">
        <is>
          <t>面试形式、时长以当年通知为准</t>
        </is>
      </c>
    </row>
    <row r="6" ht="78" customHeight="1" s="87">
      <c r="A6" s="153" t="inlineStr">
        <is>
          <t>专业知识与综合能力面试</t>
        </is>
      </c>
      <c r="B6" s="154" t="inlineStr">
        <is>
          <t>近年细则包含教育背景、科研经历、思想状况、学科动态、专业基础、实践能力等</t>
        </is>
      </c>
      <c r="C6" s="154" t="inlineStr">
        <is>
          <t>个人自述3分钟；项目/课程经历；车辆工程热点；822/控制案例</t>
        </is>
      </c>
      <c r="D6" s="154" t="inlineStr">
        <is>
          <t>2027年7月开始素材积累；初试后集中</t>
        </is>
      </c>
      <c r="E6" s="154" t="inlineStr">
        <is>
          <t>能完成3分钟自述+15分钟专业问答模拟</t>
        </is>
      </c>
      <c r="F6" s="154" t="inlineStr">
        <is>
          <t>自述结构稳定；每个项目能讲清问题-方法-结果</t>
        </is>
      </c>
      <c r="G6" s="154" t="inlineStr">
        <is>
          <t>车辆与运载学院2024复试录取实施细则</t>
        </is>
      </c>
      <c r="H6" s="155" t="inlineStr">
        <is>
          <t>不要等出分才第一次整理简历和项目</t>
        </is>
      </c>
    </row>
    <row r="7" ht="78" customHeight="1" s="87">
      <c r="A7" s="153" t="inlineStr">
        <is>
          <t>材料与流程</t>
        </is>
      </c>
      <c r="B7" s="154" t="inlineStr">
        <is>
          <t>清华学校层面要求按院系办法执行，复试成绩与初试成绩合计排名录取</t>
        </is>
      </c>
      <c r="C7" s="154" t="inlineStr">
        <is>
          <t>关注复试名单、资格审查、材料提交、缴费、考场规则</t>
        </is>
      </c>
      <c r="D7" s="154" t="inlineStr">
        <is>
          <t>2027年2月出分后立即核对；3月按通知执行</t>
        </is>
      </c>
      <c r="E7" s="154" t="inlineStr">
        <is>
          <t>每周检查官网1次</t>
        </is>
      </c>
      <c r="F7" s="154" t="inlineStr">
        <is>
          <t>所有材料齐全，节点不漏</t>
        </is>
      </c>
      <c r="G7" s="154" t="inlineStr">
        <is>
          <t>清华研究生招生网2026复试录取办法</t>
        </is>
      </c>
      <c r="H7" s="155" t="inlineStr">
        <is>
          <t>复试比例、成绩权重和形式可能变化</t>
        </is>
      </c>
    </row>
    <row r="8" ht="78" customHeight="1" s="87">
      <c r="A8" s="153" t="inlineStr">
        <is>
          <t>备考优先级</t>
        </is>
      </c>
      <c r="B8" s="154" t="inlineStr">
        <is>
          <t>复试未必只有笔试，笔试+英语听说+综合面试均可能影响结果</t>
        </is>
      </c>
      <c r="C8" s="154" t="inlineStr">
        <is>
          <t>专业综合笔试 &gt; 英语听说 &gt; 专业面试素材（按时间倒排）</t>
        </is>
      </c>
      <c r="D8" s="154" t="inlineStr">
        <is>
          <t>初试后第一天建立复试清单</t>
        </is>
      </c>
      <c r="E8" s="154" t="inlineStr">
        <is>
          <t>初试后总投入约4-6小时/日（若进入复试）</t>
        </is>
      </c>
      <c r="F8" s="154" t="inlineStr">
        <is>
          <t>每周2次笔试模拟+3次英语口语+2次面试模拟</t>
        </is>
      </c>
      <c r="G8" s="154" t="inlineStr">
        <is>
          <t>把初试资料转为复试表达</t>
        </is>
      </c>
      <c r="H8" s="155" t="inlineStr">
        <is>
          <t>复试通知发布后立即校准科目与权重</t>
        </is>
      </c>
    </row>
    <row r="9" ht="78" customHeight="1" s="87">
      <c r="A9" s="156" t="n"/>
      <c r="B9" s="157" t="n"/>
      <c r="C9" s="157" t="n"/>
      <c r="D9" s="157" t="n"/>
      <c r="E9" s="157" t="n"/>
      <c r="F9" s="157" t="n"/>
      <c r="G9" s="157" t="n"/>
      <c r="H9" s="15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</row>
    <row r="11" ht="45" customHeight="1" s="87">
      <c r="A11" s="129" t="inlineStr">
        <is>
          <t>建议节奏：2027年9月起用少量时间建立汽车理论/应用电子学/复试表达素材；2027年12月19日初试结束后休息2—3天，若进入复试名单或达到预估线，立即切换为复试主线；通常在2—3月按院系通知参加复试。</t>
        </is>
      </c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</row>
    <row r="13" ht="15" customHeight="1" s="87">
      <c r="A13" s="130" t="inlineStr">
        <is>
          <t>初试后周次</t>
        </is>
      </c>
      <c r="B13" s="131" t="inlineStr">
        <is>
          <t>专业综合笔试</t>
        </is>
      </c>
      <c r="C13" s="131" t="inlineStr">
        <is>
          <t>英语听说/面试</t>
        </is>
      </c>
      <c r="D13" s="132" t="inlineStr">
        <is>
          <t>材料与信息</t>
        </is>
      </c>
      <c r="E13" s="108" t="n"/>
      <c r="F13" s="108" t="n"/>
      <c r="G13" s="108" t="n"/>
      <c r="H13" s="108" t="n"/>
    </row>
    <row r="14" ht="58" customHeight="1" s="87">
      <c r="A14" s="153" t="inlineStr">
        <is>
          <t>第1周</t>
        </is>
      </c>
      <c r="B14" s="154" t="inlineStr">
        <is>
          <t>整理汽车理论、控制、电子学目录；补基础</t>
        </is>
      </c>
      <c r="C14" s="154" t="inlineStr">
        <is>
          <t>写2分钟自述初稿；录音2次</t>
        </is>
      </c>
      <c r="D14" s="155" t="inlineStr">
        <is>
          <t>下载官方复试细则；建立材料清单</t>
        </is>
      </c>
      <c r="E14" s="108" t="n"/>
      <c r="F14" s="108" t="n"/>
      <c r="G14" s="108" t="n"/>
      <c r="H14" s="108" t="n"/>
    </row>
    <row r="15" ht="58" customHeight="1" s="87">
      <c r="A15" s="153" t="inlineStr">
        <is>
          <t>第2周</t>
        </is>
      </c>
      <c r="B15" s="154" t="inlineStr">
        <is>
          <t>按专题做题；每周2次限时45-60分钟</t>
        </is>
      </c>
      <c r="C15" s="154" t="inlineStr">
        <is>
          <t>每日口语20分钟；专业词汇</t>
        </is>
      </c>
      <c r="D15" s="155" t="inlineStr">
        <is>
          <t>准备成绩单、简历、项目/获奖证明</t>
        </is>
      </c>
      <c r="E15" s="108" t="n"/>
      <c r="F15" s="108" t="n"/>
      <c r="G15" s="108" t="n"/>
      <c r="H15" s="108" t="n"/>
    </row>
    <row r="16" ht="58" customHeight="1" s="87">
      <c r="A16" s="153" t="inlineStr">
        <is>
          <t>第3-4周</t>
        </is>
      </c>
      <c r="B16" s="154" t="inlineStr">
        <is>
          <t>真题/模拟题+错题回归；查缺补漏</t>
        </is>
      </c>
      <c r="C16" s="154" t="inlineStr">
        <is>
          <t>每周3次模拟问答；完善项目表达</t>
        </is>
      </c>
      <c r="D16" s="155" t="inlineStr">
        <is>
          <t>每周检查车辆学院和研招网通知</t>
        </is>
      </c>
      <c r="E16" s="108" t="n"/>
      <c r="F16" s="108" t="n"/>
      <c r="G16" s="108" t="n"/>
      <c r="H16" s="108" t="n"/>
    </row>
    <row r="17" ht="58" customHeight="1" s="87">
      <c r="A17" s="156" t="inlineStr">
        <is>
          <t>复试前一周</t>
        </is>
      </c>
      <c r="B17" s="157" t="inlineStr">
        <is>
          <t>只看框架、错题和高频概念，不开新资料</t>
        </is>
      </c>
      <c r="C17" s="157" t="inlineStr">
        <is>
          <t>自述、项目、英语问答全流程演练</t>
        </is>
      </c>
      <c r="D17" s="158" t="inlineStr">
        <is>
          <t>确认时间、设备、证件、路线/网络</t>
        </is>
      </c>
      <c r="E17" s="108" t="n"/>
      <c r="F17" s="108" t="n"/>
      <c r="G17" s="108" t="n"/>
      <c r="H17" s="108" t="n"/>
    </row>
    <row r="18">
      <c r="A18" s="108" t="n"/>
      <c r="B18" s="108" t="n"/>
      <c r="C18" s="108" t="n"/>
      <c r="D18" s="108" t="n"/>
      <c r="E18" s="108" t="n"/>
      <c r="F18" s="108" t="n"/>
      <c r="G18" s="108" t="n"/>
      <c r="H18" s="108" t="n"/>
    </row>
    <row r="19" ht="15" customHeight="1" s="87">
      <c r="A19" s="133" t="inlineStr">
        <is>
          <t>来源</t>
        </is>
      </c>
      <c r="B19" s="134" t="inlineStr">
        <is>
          <t>链接</t>
        </is>
      </c>
      <c r="C19" s="134" t="inlineStr">
        <is>
          <t>用途</t>
        </is>
      </c>
      <c r="D19" s="135" t="inlineStr">
        <is>
          <t>时效说明</t>
        </is>
      </c>
      <c r="E19" s="108" t="n"/>
      <c r="F19" s="108" t="n"/>
      <c r="G19" s="108" t="n"/>
      <c r="H19" s="108" t="n"/>
    </row>
    <row r="20" ht="58" customHeight="1" s="87">
      <c r="A20" s="153" t="inlineStr">
        <is>
          <t>车辆与运载学院2024年硕士生复试录取实施细则</t>
        </is>
      </c>
      <c r="B20" s="154" t="inlineStr">
        <is>
          <t>https://www.svm.tsinghua.edu.cn/upload/file/20240318/1710751627911017318.pdf</t>
        </is>
      </c>
      <c r="C20" s="154" t="inlineStr">
        <is>
          <t>确认英语听说与专业综合面试考查维度</t>
        </is>
      </c>
      <c r="D20" s="155" t="inlineStr">
        <is>
          <t>历史细则，2027需重新核对</t>
        </is>
      </c>
      <c r="E20" s="108" t="n"/>
      <c r="F20" s="108" t="n"/>
      <c r="G20" s="108" t="n"/>
      <c r="H20" s="108" t="n"/>
    </row>
    <row r="21" ht="58" customHeight="1" s="87">
      <c r="A21" s="153" t="inlineStr">
        <is>
          <t>清华大学2026年硕士研究生复试录取办法</t>
        </is>
      </c>
      <c r="B21" s="154" t="inlineStr">
        <is>
          <t>https://yz.tsinghua.edu.cn/info/1024/3192.htm</t>
        </is>
      </c>
      <c r="C21" s="154" t="inlineStr">
        <is>
          <t>确认复试按院系办法、总成绩由初试与复试组成</t>
        </is>
      </c>
      <c r="D21" s="155" t="inlineStr">
        <is>
          <t>学校层面规则，2027可能更新</t>
        </is>
      </c>
      <c r="E21" s="108" t="n"/>
      <c r="F21" s="108" t="n"/>
      <c r="G21" s="108" t="n"/>
      <c r="H21" s="108" t="n"/>
    </row>
    <row r="22" ht="58" customHeight="1" s="87">
      <c r="A22" s="156" t="inlineStr">
        <is>
          <t>清华历年车辆工程招生目录（专业综合考试内容）</t>
        </is>
      </c>
      <c r="B22" s="157" t="inlineStr">
        <is>
          <t>https://yz.tsinghua.edu.cn/__local/E/99/DD/91D50A52DB06D7309088DE51FFA_9CC1EECF_C2DC6.pdf?e=.pdf</t>
        </is>
      </c>
      <c r="C22" s="157" t="inlineStr">
        <is>
          <t>确认汽车理论与设计、控制工程基础、应用电子学这一历史组合</t>
        </is>
      </c>
      <c r="D22" s="158" t="inlineStr">
        <is>
          <t>旧目录，仅作方向参考</t>
        </is>
      </c>
      <c r="E22" s="108" t="n"/>
      <c r="F22" s="108" t="n"/>
      <c r="G22" s="108" t="n"/>
      <c r="H22" s="108" t="n"/>
    </row>
  </sheetData>
  <mergeCells count="2">
    <mergeCell ref="A11:H11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10" defaultRowHeight="14"/>
  <cols>
    <col width="255" customWidth="1" style="87" min="1" max="1"/>
  </cols>
  <sheetData>
    <row r="1">
      <c r="A1" s="190" t="inlineStr">
        <is>
          <t>旧稿归档：本页保留早期文本用于追溯，可能包含旧说法（如18讲等）。执行时请以01_总览、03_周阶梯、04_月度规划、08_822矩阵与节点、09_复试准备附表为准。</t>
        </is>
      </c>
    </row>
    <row r="2"/>
    <row r="3">
      <c r="A3" s="108" t="n"/>
      <c r="B3" s="108" t="n"/>
      <c r="C3" s="108" t="n"/>
      <c r="D3" s="108" t="n"/>
      <c r="E3" s="108" t="n"/>
      <c r="F3" s="108" t="n"/>
    </row>
    <row r="4">
      <c r="A4" s="108" t="inlineStr">
        <is>
          <t>**数学**</t>
        </is>
      </c>
      <c r="B4" s="108" t="n"/>
      <c r="C4" s="108" t="n"/>
      <c r="D4" s="108" t="n"/>
      <c r="E4" s="108" t="n"/>
      <c r="F4" s="108" t="n"/>
    </row>
    <row r="5">
      <c r="A5" s="108" t="inlineStr">
        <is>
          <t>￼</t>
        </is>
      </c>
      <c r="B5" s="108" t="n"/>
      <c r="C5" s="108" t="n"/>
      <c r="D5" s="108" t="n"/>
      <c r="E5" s="108" t="n"/>
      <c r="F5" s="108" t="n"/>
    </row>
    <row r="6">
      <c r="A6" s="108" t="n"/>
      <c r="B6" s="108" t="n"/>
      <c r="C6" s="108" t="n"/>
      <c r="D6" s="108" t="n"/>
      <c r="E6" s="108" t="n"/>
      <c r="F6" s="108" t="n"/>
    </row>
    <row r="7">
      <c r="A7" s="108" t="inlineStr">
        <is>
          <t>**高数基础：教材张宇30讲习题（2，6，11可以先不看）1000a 可以不用开强化课，1000a要看正确率50%以上就继续，达不到就只做讲义的题，每天至少做十道错的题，不用错题本，标注就行**</t>
        </is>
      </c>
      <c r="B7" s="108" t="n"/>
      <c r="C7" s="108" t="n"/>
      <c r="D7" s="108" t="n"/>
      <c r="E7" s="108" t="n"/>
      <c r="F7" s="108" t="n"/>
    </row>
    <row r="8">
      <c r="A8" s="108" t="n"/>
      <c r="B8" s="108" t="n"/>
      <c r="C8" s="108" t="n"/>
      <c r="D8" s="108" t="n"/>
      <c r="E8" s="108" t="n"/>
      <c r="F8" s="108" t="n"/>
    </row>
    <row r="9">
      <c r="A9" s="108" t="inlineStr">
        <is>
          <t>**（强化理论上可以只二刷30讲全部和1000a）**</t>
        </is>
      </c>
      <c r="B9" s="108" t="n"/>
      <c r="C9" s="108" t="n"/>
      <c r="D9" s="108" t="n"/>
      <c r="E9" s="108" t="n"/>
      <c r="F9" s="108" t="n"/>
    </row>
    <row r="10">
      <c r="A10" s="108" t="n"/>
      <c r="B10" s="108" t="n"/>
      <c r="C10" s="108" t="n"/>
      <c r="D10" s="108" t="n"/>
      <c r="E10" s="108" t="n"/>
      <c r="F10" s="108" t="n"/>
    </row>
    <row r="11">
      <c r="A11" s="108" t="inlineStr">
        <is>
          <t>**线代基础和强化【一个月】：（学习期间与高数时间分配5:1） 基础张宇30讲（不额外做题）。 强化880基础篇（搭配没咋了网课）。同时期高数目标（1，二刷30讲，2二刷1000a错题 3，开高数新题660）**</t>
        </is>
      </c>
      <c r="B11" s="108" t="n"/>
      <c r="C11" s="108" t="n"/>
      <c r="D11" s="108" t="n"/>
      <c r="E11" s="108" t="n"/>
      <c r="F11" s="108" t="n"/>
    </row>
    <row r="12">
      <c r="A12" s="108" t="n"/>
      <c r="B12" s="108" t="n"/>
      <c r="C12" s="108" t="n"/>
      <c r="D12" s="108" t="n"/>
      <c r="E12" s="108" t="n"/>
      <c r="F12" s="108" t="n"/>
    </row>
    <row r="13">
      <c r="A13" s="108" t="inlineStr">
        <is>
          <t>**高数二次强化【一个月】 张宇强化18讲 习题1000b（ep大雪深埋网课，查漏补缺）1000b做完开高数880（同期线代二刷没咋了线代强化讲义+880综合篇 有余力1000ab（线代）或者李艳芳900）（一刷1000a正确率60以上，可以用a4大法开始【看完讲义，开始默写框架，铅笔，漏的错的用黑笔，红笔不全，一讲30分钟】A4 2.0抄写题型二级结论，易错点，（用活页夹或者圆环固定**</t>
        </is>
      </c>
      <c r="B13" s="108" t="n"/>
      <c r="C13" s="108" t="n"/>
      <c r="D13" s="108" t="n"/>
      <c r="E13" s="108" t="n"/>
      <c r="F13" s="108" t="n"/>
    </row>
    <row r="14">
      <c r="A14" s="108" t="n"/>
      <c r="B14" s="108" t="n"/>
      <c r="C14" s="108" t="n"/>
      <c r="D14" s="108" t="n"/>
      <c r="E14" s="108" t="n"/>
      <c r="F14" s="108" t="n"/>
    </row>
    <row r="15">
      <c r="A15" s="108" t="inlineStr">
        <is>
          <t>**概率论基础和强化【一个月】 听课张宇**  **9讲 强化（880基础篇）**</t>
        </is>
      </c>
      <c r="B15" s="108" t="n"/>
      <c r="C15" s="108" t="n"/>
      <c r="D15" s="108" t="n"/>
      <c r="E15" s="108" t="n"/>
      <c r="F15" s="108" t="n"/>
    </row>
    <row r="16">
      <c r="A16" s="108" t="n"/>
      <c r="B16" s="108" t="n"/>
      <c r="C16" s="108" t="n"/>
      <c r="D16" s="108" t="n"/>
      <c r="E16" s="108" t="n"/>
      <c r="F16" s="108" t="n"/>
    </row>
    <row r="17">
      <c r="A17" s="108" t="inlineStr">
        <is>
          <t>**真题模拟卷阶段：两天一张 复盘07年纸质套卷开始，第一天限时完成 错误的题上真题网看解析，并加入错题本，导出pdf，或看郭伟老师喻老解析，然后看耐刷王资料，欧几里得看解析（秘密哥）**</t>
        </is>
      </c>
      <c r="B17" s="108" t="n"/>
      <c r="C17" s="108" t="n"/>
      <c r="D17" s="108" t="n"/>
      <c r="E17" s="108" t="n"/>
      <c r="F17" s="108" t="n"/>
    </row>
    <row r="18">
      <c r="A18" s="108" t="inlineStr">
        <is>
          <t>**第二天 错的题型回归讲义和习题册，或推进新题，做专题等等**</t>
        </is>
      </c>
      <c r="B18" s="108" t="n"/>
      <c r="C18" s="108" t="n"/>
      <c r="D18" s="108" t="n"/>
      <c r="E18" s="108" t="n"/>
      <c r="F18" s="108" t="n"/>
    </row>
    <row r="19">
      <c r="A19" s="108" t="inlineStr">
        <is>
          <t xml:space="preserve">**模拟卷要等真题20-26均分有135，可以开始真模替换，** </t>
        </is>
      </c>
      <c r="B19" s="108" t="n"/>
      <c r="C19" s="108" t="n"/>
      <c r="D19" s="108" t="n"/>
      <c r="E19" s="108" t="n"/>
      <c r="F19" s="108" t="n"/>
    </row>
    <row r="20">
      <c r="A20" s="108" t="inlineStr">
        <is>
          <t>**合工大 李艳芳。。。。 真题和模拟卷轮流刷 同时做完880剩余内容 大雪深埋网课 查漏补缺**</t>
        </is>
      </c>
      <c r="B20" s="108" t="n"/>
      <c r="C20" s="108" t="n"/>
      <c r="D20" s="108" t="n"/>
      <c r="E20" s="108" t="n"/>
      <c r="F20" s="108" t="n"/>
    </row>
    <row r="21">
      <c r="A21" s="108" t="n"/>
      <c r="B21" s="108" t="n"/>
      <c r="C21" s="108" t="n"/>
      <c r="D21" s="108" t="n"/>
      <c r="E21" s="108" t="n"/>
      <c r="F21" s="108" t="n"/>
    </row>
    <row r="22">
      <c r="A22" s="108" t="n"/>
      <c r="B22" s="108" t="n"/>
      <c r="C22" s="108" t="n"/>
      <c r="D22" s="108" t="n"/>
      <c r="E22" s="108" t="n"/>
      <c r="F22" s="108" t="n"/>
    </row>
    <row r="23">
      <c r="A23" s="108" t="inlineStr">
        <is>
          <t>**英语**</t>
        </is>
      </c>
      <c r="B23" s="108" t="n"/>
      <c r="C23" s="108" t="n"/>
      <c r="D23" s="108" t="n"/>
      <c r="E23" s="108" t="n"/>
      <c r="F23" s="108" t="n"/>
    </row>
    <row r="24">
      <c r="A24" s="108" t="n"/>
      <c r="B24" s="108" t="n"/>
      <c r="C24" s="108" t="n"/>
      <c r="D24" s="108" t="n"/>
      <c r="E24" s="108" t="n"/>
      <c r="F24" s="108" t="n"/>
    </row>
    <row r="25">
      <c r="A25" s="108" t="inlineStr">
        <is>
          <t>开始就背单词每天50-100，三轮以上，必须完成单词复习任务 不背单词，第二轮开始每天去公众号【考研英语外刊阅读】，不认识的词要提前查，主要目的是练习翻译长难句</t>
        </is>
      </c>
      <c r="B25" s="108" t="n"/>
      <c r="C25" s="108" t="n"/>
      <c r="D25" s="108" t="n"/>
      <c r="E25" s="108" t="n"/>
      <c r="F25" s="108" t="n"/>
    </row>
    <row r="26">
      <c r="A26" s="108" t="n"/>
      <c r="B26" s="108" t="n"/>
      <c r="C26" s="108" t="n"/>
      <c r="D26" s="108" t="n"/>
      <c r="E26" s="108" t="n"/>
      <c r="F26" s="108" t="n"/>
    </row>
    <row r="27">
      <c r="A27" s="108" t="inlineStr">
        <is>
          <t xml:space="preserve">**4月前 背单词（马天艺单词之间锐记单词（monkey））** </t>
        </is>
      </c>
      <c r="B27" s="108" t="n"/>
      <c r="C27" s="108" t="n"/>
      <c r="D27" s="108" t="n"/>
      <c r="E27" s="108" t="n"/>
      <c r="F27" s="108" t="n"/>
    </row>
    <row r="28">
      <c r="A28" s="108" t="inlineStr">
        <is>
          <t>**买牛皮纸真题册要买两份（要二刷）**</t>
        </is>
      </c>
      <c r="B28" s="108" t="n"/>
      <c r="C28" s="108" t="n"/>
      <c r="D28" s="108" t="n"/>
      <c r="E28" s="108" t="n"/>
      <c r="F28" s="108" t="n"/>
    </row>
    <row r="29">
      <c r="A29" s="108" t="inlineStr">
        <is>
          <t>**4月到六月中 开始做英二精翻【教材：逐字逐句精翻手册或者扇贝考研】精翻内容（10-27年英二真题共72篇）**</t>
        </is>
      </c>
      <c r="B29" s="108" t="n"/>
      <c r="C29" s="108" t="n"/>
      <c r="D29" s="108" t="n"/>
      <c r="E29" s="108" t="n"/>
      <c r="F29" s="108" t="n"/>
    </row>
    <row r="30">
      <c r="A30" s="108" t="n"/>
      <c r="B30" s="108" t="n"/>
      <c r="C30" s="108" t="n"/>
      <c r="D30" s="108" t="n"/>
      <c r="E30" s="108" t="n"/>
      <c r="F30" s="108" t="n"/>
    </row>
    <row r="31">
      <c r="A31" s="108" t="inlineStr">
        <is>
          <t>**6月中到9月 英一阅读真题（10-27年，留20 21 22的真题做最后的模拟，剩余60篇，**</t>
        </is>
      </c>
      <c r="B31" s="108" t="n"/>
      <c r="C31" s="108" t="n"/>
      <c r="D31" s="108" t="n"/>
      <c r="E31" s="108" t="n"/>
      <c r="F31" s="108" t="n"/>
    </row>
    <row r="32">
      <c r="A32" s="108" t="inlineStr">
        <is>
          <t>**结束后开三小门：完形（易熙人老师网课，刷题）翻译：精翻加练习（柴荣老师） 新题型（刘琦老师方法论约2h）**</t>
        </is>
      </c>
      <c r="B32" s="108" t="n"/>
      <c r="C32" s="108" t="n"/>
      <c r="D32" s="108" t="n"/>
      <c r="E32" s="108" t="n"/>
      <c r="F32" s="108" t="n"/>
    </row>
    <row r="33">
      <c r="A33" s="108" t="n"/>
      <c r="B33" s="108" t="n"/>
      <c r="C33" s="108" t="n"/>
      <c r="D33" s="108" t="n"/>
      <c r="E33" s="108" t="n"/>
      <c r="F33" s="108" t="n"/>
    </row>
    <row r="34">
      <c r="A34" s="108" t="inlineStr">
        <is>
          <t>**9月1日 秘密哥作文模板（8月就可以开始背了，要默写，顺便练字）作文准备顺序（先看图画类第一段，再看静态和动态，然后看品质类第二段，再看经济类第二段，最后看正面第三段）（3月就可以占位了）**</t>
        </is>
      </c>
      <c r="B34" s="108" t="n"/>
      <c r="C34" s="108" t="n"/>
      <c r="D34" s="108" t="n"/>
      <c r="E34" s="108" t="n"/>
      <c r="F34" s="108" t="n"/>
    </row>
    <row r="35">
      <c r="A35" s="108" t="n"/>
      <c r="B35" s="108" t="n"/>
      <c r="C35" s="108" t="n"/>
      <c r="D35" s="108" t="n"/>
      <c r="E35" s="108" t="n"/>
      <c r="F35" s="108" t="n"/>
    </row>
    <row r="36">
      <c r="A36" s="108" t="inlineStr">
        <is>
          <t xml:space="preserve">**10月二刷 三刷 真题套卷+背单词 模拟卷** </t>
        </is>
      </c>
      <c r="B36" s="108" t="n"/>
      <c r="C36" s="108" t="n"/>
      <c r="D36" s="108" t="n"/>
      <c r="E36" s="108" t="n"/>
      <c r="F36" s="108" t="n"/>
    </row>
    <row r="37">
      <c r="A37" s="108" t="n"/>
      <c r="B37" s="108" t="n"/>
      <c r="C37" s="108" t="n"/>
      <c r="D37" s="108" t="n"/>
      <c r="E37" s="108" t="n"/>
      <c r="F37" s="108" t="n"/>
    </row>
    <row r="38">
      <c r="A38" s="108" t="inlineStr">
        <is>
          <t>**12月1日 20年真题**</t>
        </is>
      </c>
      <c r="B38" s="108" t="n"/>
      <c r="C38" s="108" t="n"/>
      <c r="D38" s="108" t="n"/>
      <c r="E38" s="108" t="n"/>
      <c r="F38" s="108" t="n"/>
    </row>
    <row r="39">
      <c r="A39" s="108" t="inlineStr">
        <is>
          <t>**12月6日 21年真题**</t>
        </is>
      </c>
      <c r="B39" s="108" t="n"/>
      <c r="C39" s="108" t="n"/>
      <c r="D39" s="108" t="n"/>
      <c r="E39" s="108" t="n"/>
      <c r="F39" s="108" t="n"/>
    </row>
    <row r="40">
      <c r="A40" s="108" t="inlineStr">
        <is>
          <t>**12月13日22年真题**</t>
        </is>
      </c>
      <c r="B40" s="108" t="n"/>
      <c r="C40" s="108" t="n"/>
      <c r="D40" s="108" t="n"/>
      <c r="E40" s="108" t="n"/>
      <c r="F40" s="108" t="n"/>
    </row>
    <row r="41">
      <c r="A41" s="108" t="n"/>
      <c r="B41" s="108" t="n"/>
      <c r="C41" s="108" t="n"/>
      <c r="D41" s="108" t="n"/>
      <c r="E41" s="108" t="n"/>
      <c r="F41" s="108" t="n"/>
    </row>
    <row r="42">
      <c r="A42" s="108" t="n"/>
      <c r="B42" s="108" t="n"/>
      <c r="C42" s="108" t="n"/>
      <c r="D42" s="108" t="n"/>
      <c r="E42" s="108" t="n"/>
      <c r="F42" s="108" t="n"/>
    </row>
    <row r="43">
      <c r="A43" s="108" t="inlineStr">
        <is>
          <t>**政治**</t>
        </is>
      </c>
      <c r="B43" s="108" t="n"/>
      <c r="C43" s="108" t="n"/>
      <c r="D43" s="108" t="n"/>
      <c r="E43" s="108" t="n"/>
      <c r="F43" s="108" t="n"/>
    </row>
    <row r="44">
      <c r="A44" s="108" t="n"/>
      <c r="B44" s="108" t="n"/>
      <c r="C44" s="108" t="n"/>
      <c r="D44" s="108" t="n"/>
      <c r="E44" s="108" t="n"/>
      <c r="F44" s="108" t="n"/>
    </row>
    <row r="45">
      <c r="A45" s="108" t="inlineStr">
        <is>
          <t xml:space="preserve"> **9月到10月 徐涛强化课（只听马原加史纲）【教材：徐涛，考研政治核心考察】+720（mmg那里买） 9月后晚上听**</t>
        </is>
      </c>
      <c r="B45" s="108" t="n"/>
      <c r="C45" s="108" t="n"/>
      <c r="D45" s="108" t="n"/>
      <c r="E45" s="108" t="n"/>
      <c r="F45" s="108" t="n"/>
    </row>
    <row r="46">
      <c r="A46" s="108" t="inlineStr">
        <is>
          <t>**10月到肖八出来前，：南山小程序模拟题**</t>
        </is>
      </c>
      <c r="B46" s="108" t="n"/>
      <c r="C46" s="108" t="n"/>
      <c r="D46" s="108" t="n"/>
      <c r="E46" s="108" t="n"/>
      <c r="F46" s="108" t="n"/>
    </row>
    <row r="47">
      <c r="A47" s="108" t="inlineStr">
        <is>
          <t>**11月肖8选择题**</t>
        </is>
      </c>
      <c r="B47" s="108" t="n"/>
      <c r="C47" s="108" t="n"/>
      <c r="D47" s="108" t="n"/>
      <c r="E47" s="108" t="n"/>
      <c r="F47" s="108" t="n"/>
    </row>
    <row r="48">
      <c r="A48" s="108" t="inlineStr">
        <is>
          <t>**12月肖4 大题加选择 （b站大牙/帕拉迪宇抄材料教程）考前一个月背主观题**</t>
        </is>
      </c>
      <c r="B48" s="108" t="n"/>
      <c r="C48" s="108" t="n"/>
      <c r="D48" s="108" t="n"/>
      <c r="E48" s="108" t="n"/>
      <c r="F48" s="108" t="n"/>
    </row>
    <row r="49">
      <c r="A49" s="108" t="n"/>
      <c r="B49" s="108" t="n"/>
      <c r="C49" s="108" t="n"/>
      <c r="D49" s="108" t="n"/>
      <c r="E49" s="108" t="n"/>
      <c r="F49" s="108" t="n"/>
    </row>
    <row r="50">
      <c r="A50" s="108" t="n"/>
      <c r="B50" s="108" t="n"/>
      <c r="C50" s="108" t="n"/>
      <c r="D50" s="108" t="n"/>
      <c r="E50" s="108" t="n"/>
      <c r="F50" s="108" t="n"/>
    </row>
    <row r="51">
      <c r="A51" s="108" t="inlineStr">
        <is>
          <t>**专业课822**</t>
        </is>
      </c>
      <c r="B51" s="108" t="n"/>
      <c r="C51" s="108" t="n"/>
      <c r="D51" s="108" t="n"/>
      <c r="E51" s="108" t="n"/>
      <c r="F51" s="108" t="n"/>
    </row>
    <row r="52">
      <c r="A52" s="108" t="inlineStr">
        <is>
          <t>**主旨：快速多轮，结论 题型**</t>
        </is>
      </c>
      <c r="B52" s="108" t="n"/>
      <c r="C52" s="108" t="n"/>
      <c r="D52" s="108" t="n"/>
      <c r="E52" s="108" t="n"/>
      <c r="F52" s="108" t="n"/>
    </row>
    <row r="53">
      <c r="A53" s="108" t="inlineStr">
        <is>
          <t>**4月中前结束一轮基础课加讲义加错题**</t>
        </is>
      </c>
      <c r="B53" s="108" t="n"/>
      <c r="C53" s="108" t="n"/>
      <c r="D53" s="108" t="n"/>
      <c r="E53" s="108" t="n"/>
      <c r="F53" s="108" t="n"/>
    </row>
    <row r="54">
      <c r="A54" s="108" t="inlineStr">
        <is>
          <t>**6月前结束二轮基础：讲义加错题**</t>
        </is>
      </c>
      <c r="B54" s="108" t="n"/>
      <c r="C54" s="108" t="n"/>
      <c r="D54" s="108" t="n"/>
      <c r="E54" s="108" t="n"/>
      <c r="F54" s="108" t="n"/>
    </row>
    <row r="55">
      <c r="A55" s="108" t="inlineStr">
        <is>
          <t>**基础强化过渡阶段（6-7） 补本习题册**</t>
        </is>
      </c>
      <c r="B55" s="108" t="n"/>
      <c r="C55" s="108" t="n"/>
      <c r="D55" s="108" t="n"/>
      <c r="E55" s="108" t="n"/>
      <c r="F55" s="108" t="n"/>
    </row>
    <row r="56">
      <c r="A56" s="108" t="inlineStr">
        <is>
          <t>**7月开始专题强化（芝麻研行）**</t>
        </is>
      </c>
      <c r="B56" s="108" t="n"/>
      <c r="C56" s="108" t="n"/>
      <c r="D56" s="108" t="n"/>
      <c r="E56" s="108" t="n"/>
      <c r="F56" s="108" t="n"/>
    </row>
    <row r="57">
      <c r="A57" s="108" t="inlineStr">
        <is>
          <t>**9月前1轮强化：强化一遍课本两遍240习题册**</t>
        </is>
      </c>
      <c r="B57" s="108" t="n"/>
      <c r="C57" s="108" t="n"/>
      <c r="D57" s="108" t="n"/>
      <c r="E57" s="108" t="n"/>
      <c r="F57" s="108" t="n"/>
    </row>
    <row r="58">
      <c r="A58" s="108" t="inlineStr">
        <is>
          <t>**【开真题前，可以先扫描一份】**</t>
        </is>
      </c>
      <c r="B58" s="108" t="n"/>
      <c r="C58" s="108" t="n"/>
      <c r="D58" s="108" t="n"/>
      <c r="E58" s="108" t="n"/>
      <c r="F58" s="108" t="n"/>
    </row>
    <row r="59">
      <c r="A59" s="108" t="inlineStr">
        <is>
          <t>**10月前2轮强化真题1-2 100习题册（可以做做其他学校的题）**</t>
        </is>
      </c>
      <c r="B59" s="108" t="n"/>
      <c r="C59" s="108" t="n"/>
      <c r="D59" s="108" t="n"/>
      <c r="E59" s="108" t="n"/>
      <c r="F59" s="108" t="n"/>
    </row>
    <row r="60">
      <c r="A60" s="108" t="inlineStr">
        <is>
          <t>**12月前大套卷 真题 冲刺卷**</t>
        </is>
      </c>
      <c r="B60" s="108" t="n"/>
      <c r="C60" s="108" t="n"/>
      <c r="D60" s="108" t="n"/>
      <c r="E60" s="108" t="n"/>
      <c r="F60" s="108" t="n"/>
    </row>
    <row r="61">
      <c r="A61" s="108" t="n"/>
      <c r="B61" s="108" t="n"/>
      <c r="C61" s="108" t="n"/>
      <c r="D61" s="108" t="n"/>
      <c r="E61" s="108" t="n"/>
      <c r="F61" s="108" t="n"/>
    </row>
    <row r="62">
      <c r="A62" s="108" t="n"/>
      <c r="B62" s="108" t="n"/>
      <c r="C62" s="108" t="n"/>
      <c r="D62" s="108" t="n"/>
      <c r="E62" s="108" t="n"/>
      <c r="F62" s="108" t="n"/>
    </row>
    <row r="63">
      <c r="A63" s="108" t="n"/>
      <c r="B63" s="108" t="n"/>
      <c r="C63" s="108" t="n"/>
      <c r="D63" s="108" t="n"/>
      <c r="E63" s="108" t="n"/>
      <c r="F63" s="108" t="n"/>
    </row>
    <row r="64">
      <c r="A64" s="108" t="inlineStr">
        <is>
          <t>**雅思（26年11月中）**</t>
        </is>
      </c>
      <c r="B64" s="108" t="n"/>
      <c r="C64" s="108" t="n"/>
      <c r="D64" s="108" t="n"/>
      <c r="E64" s="108" t="n"/>
      <c r="F64" s="108" t="n"/>
    </row>
    <row r="65">
      <c r="A65" s="108" t="n"/>
      <c r="B65" s="108" t="n"/>
      <c r="C65" s="108" t="n"/>
      <c r="D65" s="108" t="n"/>
      <c r="E65" s="108" t="n"/>
      <c r="F65" s="108" t="n"/>
    </row>
    <row r="66">
      <c r="A66" s="108" t="inlineStr">
        <is>
          <t>刷题网站：[ieltscat.xdf.cn](http://ieltscat.xdf.cn)</t>
        </is>
      </c>
      <c r="B66" s="108" t="n"/>
      <c r="C66" s="108" t="n"/>
      <c r="D66" s="108" t="n"/>
      <c r="E66" s="108" t="n"/>
      <c r="F66" s="108" t="n"/>
    </row>
    <row r="67">
      <c r="A67" s="108" t="inlineStr">
        <is>
          <t>语法工具：grammarly，ieltswriteright，quillbot句式分析</t>
        </is>
      </c>
      <c r="B67" s="108" t="n"/>
      <c r="C67" s="108" t="n"/>
      <c r="D67" s="108" t="n"/>
      <c r="E67" s="108" t="n"/>
      <c r="F67" s="108" t="n"/>
    </row>
    <row r="68">
      <c r="A68" s="108" t="inlineStr">
        <is>
          <t>听力阅读方法论：sun</t>
        </is>
      </c>
      <c r="B68" s="108" t="n"/>
      <c r="C68" s="108" t="n"/>
      <c r="D68" s="108" t="n"/>
      <c r="E68" s="108" t="n"/>
      <c r="F68" s="108" t="n"/>
    </row>
    <row r="69">
      <c r="A69" s="108" t="inlineStr">
        <is>
          <t>口语写作：写作：lexi学姐</t>
        </is>
      </c>
      <c r="B69" s="108" t="n"/>
      <c r="C69" s="108" t="n"/>
      <c r="D69" s="108" t="n"/>
      <c r="E69" s="108" t="n"/>
      <c r="F69" s="108" t="n"/>
    </row>
    <row r="70">
      <c r="A70" s="108" t="n"/>
      <c r="B70" s="108" t="n"/>
      <c r="C70" s="108" t="inlineStr">
        <is>
          <t>口语：莱斯利</t>
        </is>
      </c>
      <c r="D70" s="108" t="n"/>
      <c r="E70" s="108" t="n"/>
      <c r="F70" s="108" t="n"/>
    </row>
    <row r="71">
      <c r="A71" s="108" t="inlineStr">
        <is>
          <t xml:space="preserve"> 目标7.0   </t>
        </is>
      </c>
      <c r="B71" s="108" t="n"/>
      <c r="C71" s="108" t="n"/>
      <c r="D71" s="108" t="n"/>
      <c r="E71" s="108" t="n"/>
      <c r="F71" s="108" t="n"/>
    </row>
    <row r="72">
      <c r="A72" s="108" t="n"/>
      <c r="B72" s="108" t="inlineStr">
        <is>
          <t>听力</t>
        </is>
      </c>
      <c r="C72" s="108" t="inlineStr">
        <is>
          <t>阅读</t>
        </is>
      </c>
      <c r="D72" s="108" t="inlineStr">
        <is>
          <t>口语</t>
        </is>
      </c>
      <c r="E72" s="108" t="inlineStr">
        <is>
          <t>写作</t>
        </is>
      </c>
      <c r="F72" s="108" t="inlineStr">
        <is>
          <t>总分</t>
        </is>
      </c>
    </row>
    <row r="73">
      <c r="A73" s="108" t="inlineStr">
        <is>
          <t>题数</t>
        </is>
      </c>
      <c r="B73" s="108" t="inlineStr">
        <is>
          <t>33-34</t>
        </is>
      </c>
      <c r="C73" s="108" t="inlineStr">
        <is>
          <t>33-34</t>
        </is>
      </c>
      <c r="D73" s="108" t="n"/>
      <c r="E73" s="108" t="n"/>
      <c r="F73" s="108" t="n"/>
    </row>
    <row r="74">
      <c r="A74" s="108" t="inlineStr">
        <is>
          <t>分数</t>
        </is>
      </c>
      <c r="B74" s="108" t="n">
        <v>7.5</v>
      </c>
      <c r="C74" s="108" t="n">
        <v>7.5</v>
      </c>
      <c r="D74" s="108" t="n">
        <v>6.5</v>
      </c>
      <c r="E74" s="108" t="n">
        <v>6.5</v>
      </c>
      <c r="F74" s="108" t="n"/>
    </row>
    <row r="75">
      <c r="A75" s="108" t="inlineStr">
        <is>
          <t>第一二周：基础词汇积累 （1，听音频后朗读；2，听英文想中文；3，听英文写英文）每天背诵100个，精翻两篇阅读</t>
        </is>
      </c>
      <c r="B75" s="108" t="n"/>
      <c r="C75" s="108" t="n"/>
      <c r="D75" s="108" t="n"/>
      <c r="E75" s="108" t="n"/>
      <c r="F75" s="108" t="n"/>
    </row>
    <row r="76">
      <c r="A76" s="108" t="inlineStr">
        <is>
          <t>第三四周：听力阅读方法论学习，作文学习框架，口语准备素材</t>
        </is>
      </c>
      <c r="B76" s="108" t="n"/>
      <c r="C76" s="108" t="n"/>
      <c r="D76" s="108" t="n"/>
      <c r="E76" s="108" t="n"/>
      <c r="F76" s="108" t="n"/>
    </row>
    <row r="77">
      <c r="A77" s="108" t="inlineStr">
        <is>
          <t>第五到七周：刷题冲刺</t>
        </is>
      </c>
      <c r="B77" s="108" t="n"/>
      <c r="C77" s="108" t="n"/>
      <c r="D77" s="108" t="n"/>
      <c r="E77" s="108" t="n"/>
      <c r="F77" s="108" t="n"/>
    </row>
    <row r="78">
      <c r="A78" s="108" t="inlineStr">
        <is>
          <t>第八周，准备复盘（以上计划可以扩展到十一月，十一月去考）</t>
        </is>
      </c>
      <c r="B78" s="108" t="n"/>
      <c r="C78" s="108" t="n"/>
      <c r="D78" s="108" t="n"/>
      <c r="E78" s="108" t="n"/>
      <c r="F78" s="108" t="n"/>
    </row>
  </sheetData>
  <mergeCells count="1">
    <mergeCell ref="A1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4" customWidth="1" style="87" min="1" max="1"/>
    <col width="14" customWidth="1" style="87" min="2" max="2"/>
    <col width="20" customWidth="1" style="87" min="3" max="3"/>
    <col width="20" customWidth="1" style="87" min="4" max="4"/>
    <col width="20" customWidth="1" style="87" min="5" max="5"/>
    <col width="20" customWidth="1" style="87" min="6" max="6"/>
    <col width="20" customWidth="1" style="87" min="7" max="7"/>
    <col width="28" customWidth="1" style="87" min="8" max="8"/>
    <col width="12" customWidth="1" style="87" min="9" max="9"/>
    <col width="12" customWidth="1" style="87" min="10" max="10"/>
  </cols>
  <sheetData>
    <row r="1">
      <c r="A1" s="191" t="inlineStr">
        <is>
          <t>02｜每日时间表：固定作息不变，内容随阶段切换</t>
        </is>
      </c>
    </row>
    <row r="2">
      <c r="A2" s="167" t="inlineStr">
        <is>
          <t>起床 07:00，睡觉 23:00，健身 18:30-20:30 固定不动；日内只换内容，不换底层结构。</t>
        </is>
      </c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</row>
    <row r="4" ht="48" customHeight="1" s="87">
      <c r="A4" s="126" t="inlineStr">
        <is>
          <t>时间段</t>
        </is>
      </c>
      <c r="B4" s="127" t="inlineStr">
        <is>
          <t>固定动作</t>
        </is>
      </c>
      <c r="C4" s="127" t="inlineStr">
        <is>
          <t>阶段1 2026-08~11</t>
        </is>
      </c>
      <c r="D4" s="127" t="inlineStr">
        <is>
          <t>阶段2 2026-12~2027-03</t>
        </is>
      </c>
      <c r="E4" s="127" t="inlineStr">
        <is>
          <t>阶段3 2027-04~06</t>
        </is>
      </c>
      <c r="F4" s="127" t="inlineStr">
        <is>
          <t>阶段4 2027-07~09</t>
        </is>
      </c>
      <c r="G4" s="127" t="inlineStr">
        <is>
          <t>阶段5 2027-10~12</t>
        </is>
      </c>
      <c r="H4" s="127" t="inlineStr">
        <is>
          <t>执行口径</t>
        </is>
      </c>
      <c r="I4" s="127" t="inlineStr">
        <is>
          <t>备注1</t>
        </is>
      </c>
      <c r="J4" s="128" t="inlineStr">
        <is>
          <t>备注2</t>
        </is>
      </c>
    </row>
    <row r="5" ht="44" customHeight="1" s="87">
      <c r="A5" s="153" t="inlineStr">
        <is>
          <t>07:00-09:30</t>
        </is>
      </c>
      <c r="B5" s="154" t="inlineStr">
        <is>
          <t>早读/主攻块1</t>
        </is>
      </c>
      <c r="C5" s="154" t="inlineStr">
        <is>
          <t>单词复习 + 高数基础</t>
        </is>
      </c>
      <c r="D5" s="154" t="inlineStr">
        <is>
          <t>高数强化 + 线代</t>
        </is>
      </c>
      <c r="E5" s="154" t="inlineStr">
        <is>
          <t>高数二强/880</t>
        </is>
      </c>
      <c r="F5" s="154" t="inlineStr">
        <is>
          <t>概率 + 真题预热</t>
        </is>
      </c>
      <c r="G5" s="154" t="inlineStr">
        <is>
          <t>真题/套卷</t>
        </is>
      </c>
      <c r="H5" s="154" t="inlineStr">
        <is>
          <t>先完成复习任务再开新内容</t>
        </is>
      </c>
      <c r="I5" s="154" t="inlineStr">
        <is>
          <t>固定</t>
        </is>
      </c>
      <c r="J5" s="155" t="str"/>
    </row>
    <row r="6" ht="44" customHeight="1" s="87">
      <c r="A6" s="153" t="inlineStr">
        <is>
          <t>09:45-11:15</t>
        </is>
      </c>
      <c r="B6" s="154" t="inlineStr">
        <is>
          <t>主攻块2</t>
        </is>
      </c>
      <c r="C6" s="154" t="inlineStr">
        <is>
          <t>822入门/数学错题</t>
        </is>
      </c>
      <c r="D6" s="154" t="inlineStr">
        <is>
          <t>822一轮/线代错题</t>
        </is>
      </c>
      <c r="E6" s="154" t="inlineStr">
        <is>
          <t>822二轮 + 英二精翻</t>
        </is>
      </c>
      <c r="F6" s="154" t="inlineStr">
        <is>
          <t>822专题 + 英一阅读</t>
        </is>
      </c>
      <c r="G6" s="154" t="inlineStr">
        <is>
          <t>822真题/冲刺卷</t>
        </is>
      </c>
      <c r="H6" s="154" t="inlineStr">
        <is>
          <t>上午优先最硬的任务</t>
        </is>
      </c>
      <c r="I6" s="154" t="inlineStr">
        <is>
          <t>固定</t>
        </is>
      </c>
      <c r="J6" s="155" t="str"/>
    </row>
    <row r="7" ht="44" customHeight="1" s="87">
      <c r="A7" s="153" t="inlineStr">
        <is>
          <t>13:30-15:00</t>
        </is>
      </c>
      <c r="B7" s="154" t="inlineStr">
        <is>
          <t>主攻块3</t>
        </is>
      </c>
      <c r="C7" s="154" t="inlineStr">
        <is>
          <t>雅思阅读/作文/长难句</t>
        </is>
      </c>
      <c r="D7" s="154" t="inlineStr">
        <is>
          <t>考研英语单词/外刊</t>
        </is>
      </c>
      <c r="E7" s="154" t="inlineStr">
        <is>
          <t>英二精翻</t>
        </is>
      </c>
      <c r="F7" s="154" t="inlineStr">
        <is>
          <t>英一阅读 + 作文</t>
        </is>
      </c>
      <c r="G7" s="154" t="inlineStr">
        <is>
          <t>套卷/作文</t>
        </is>
      </c>
      <c r="H7" s="154" t="inlineStr">
        <is>
          <t>午后做输出型任务</t>
        </is>
      </c>
      <c r="I7" s="154" t="inlineStr">
        <is>
          <t>固定</t>
        </is>
      </c>
      <c r="J7" s="155" t="str"/>
    </row>
    <row r="8" ht="44" customHeight="1" s="87">
      <c r="A8" s="153" t="inlineStr">
        <is>
          <t>15:15-16:45</t>
        </is>
      </c>
      <c r="B8" s="154" t="inlineStr">
        <is>
          <t>主攻块4</t>
        </is>
      </c>
      <c r="C8" s="154" t="inlineStr">
        <is>
          <t>822 + 数学补弱</t>
        </is>
      </c>
      <c r="D8" s="154" t="inlineStr">
        <is>
          <t>线代/660/错题</t>
        </is>
      </c>
      <c r="E8" s="154" t="inlineStr">
        <is>
          <t>数学880 + A4</t>
        </is>
      </c>
      <c r="F8" s="154" t="inlineStr">
        <is>
          <t>政治碎片化预热</t>
        </is>
      </c>
      <c r="G8" s="154" t="inlineStr">
        <is>
          <t>政治/英语错题</t>
        </is>
      </c>
      <c r="H8" s="154" t="inlineStr">
        <is>
          <t>只做本阶段主线里的第二优先级</t>
        </is>
      </c>
      <c r="I8" s="154" t="inlineStr">
        <is>
          <t>固定</t>
        </is>
      </c>
      <c r="J8" s="155" t="str"/>
    </row>
    <row r="9" ht="44" customHeight="1" s="87">
      <c r="A9" s="156" t="inlineStr">
        <is>
          <t>21:00-22:00</t>
        </is>
      </c>
      <c r="B9" s="157" t="inlineStr">
        <is>
          <t>夜间收束</t>
        </is>
      </c>
      <c r="C9" s="157" t="inlineStr">
        <is>
          <t>复盘 + 记错因</t>
        </is>
      </c>
      <c r="D9" s="157" t="inlineStr">
        <is>
          <t>复盘 + 记错因</t>
        </is>
      </c>
      <c r="E9" s="157" t="inlineStr">
        <is>
          <t>复盘 + 记错因</t>
        </is>
      </c>
      <c r="F9" s="157" t="inlineStr">
        <is>
          <t>政治/英语/822复盘</t>
        </is>
      </c>
      <c r="G9" s="157" t="inlineStr">
        <is>
          <t>政治/英语/822复盘</t>
        </is>
      </c>
      <c r="H9" s="157" t="inlineStr">
        <is>
          <t>晚上只做整理和回看，不开重任务</t>
        </is>
      </c>
      <c r="I9" s="157" t="inlineStr">
        <is>
          <t>固定</t>
        </is>
      </c>
      <c r="J9" s="158" t="str"/>
    </row>
    <row r="10" ht="48" customHeight="1" s="87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</row>
    <row r="11" ht="48" customHeight="1" s="87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</row>
    <row r="12" ht="48" customHeight="1" s="87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</row>
    <row r="13" ht="48" customHeight="1" s="87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</row>
    <row r="14" ht="48" customHeight="1" s="87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</row>
    <row r="15" ht="48" customHeight="1" s="87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</row>
  </sheetData>
  <mergeCells count="2">
    <mergeCell ref="A1:J1"/>
    <mergeCell ref="A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5" customWidth="1" style="87" min="1" max="1"/>
    <col width="25" customWidth="1" style="87" min="2" max="2"/>
    <col width="36" customWidth="1" style="87" min="3" max="3"/>
    <col width="20" customWidth="1" style="87" min="4" max="4"/>
    <col width="30" customWidth="1" style="87" min="5" max="5"/>
    <col width="16" customWidth="1" style="87" min="6" max="6"/>
    <col width="20" customWidth="1" style="87" min="7" max="7"/>
    <col width="34" customWidth="1" style="87" min="8" max="8"/>
  </cols>
  <sheetData>
    <row r="1">
      <c r="A1" s="191" t="inlineStr">
        <is>
          <t>08｜822矩阵与节点（详细）｜题型矩阵+官网节点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</row>
    <row r="3">
      <c r="A3" s="126" t="inlineStr">
        <is>
          <t>模块</t>
        </is>
      </c>
      <c r="B3" s="127" t="inlineStr">
        <is>
          <t>核心概念</t>
        </is>
      </c>
      <c r="C3" s="127" t="inlineStr">
        <is>
          <t>典型题型</t>
        </is>
      </c>
      <c r="D3" s="127" t="inlineStr">
        <is>
          <t>训练材料</t>
        </is>
      </c>
      <c r="E3" s="127" t="inlineStr">
        <is>
          <t>周训练动作</t>
        </is>
      </c>
      <c r="F3" s="127" t="inlineStr">
        <is>
          <t>掌握标准</t>
        </is>
      </c>
      <c r="G3" s="127" t="inlineStr">
        <is>
          <t>常见错因</t>
        </is>
      </c>
      <c r="H3" s="128" t="inlineStr">
        <is>
          <t>对应阶段</t>
        </is>
      </c>
    </row>
    <row r="4" ht="64" customHeight="1" s="87">
      <c r="A4" s="153" t="inlineStr">
        <is>
          <t>系统建模/反馈结构</t>
        </is>
      </c>
      <c r="B4" s="154" t="inlineStr">
        <is>
          <t>传递函数、方块图、开闭环、等效变换</t>
        </is>
      </c>
      <c r="C4" s="154" t="inlineStr">
        <is>
          <t>方块图化简、传递函数求取、系统模型建立</t>
        </is>
      </c>
      <c r="D4" s="154" t="inlineStr">
        <is>
          <t>教材+讲义+240基础题</t>
        </is>
      </c>
      <c r="E4" s="154" t="inlineStr">
        <is>
          <t>每周至少1次结论卡复述</t>
        </is>
      </c>
      <c r="F4" s="154" t="inlineStr">
        <is>
          <t>能不看答案画出结构并写出传递函数</t>
        </is>
      </c>
      <c r="G4" s="154" t="inlineStr">
        <is>
          <t>符号方向错、反馈正负号错</t>
        </is>
      </c>
      <c r="H4" s="155" t="inlineStr">
        <is>
          <t>2026-08入门→2026-12一轮→2027-04收口</t>
        </is>
      </c>
    </row>
    <row r="5" ht="64" customHeight="1" s="87">
      <c r="A5" s="153" t="inlineStr">
        <is>
          <t>时域分析</t>
        </is>
      </c>
      <c r="B5" s="154" t="inlineStr">
        <is>
          <t>阶跃响应、超调量、调节时间、稳态误差</t>
        </is>
      </c>
      <c r="C5" s="154" t="inlineStr">
        <is>
          <t>二阶系统指标计算、误差系数题</t>
        </is>
      </c>
      <c r="D5" s="154" t="inlineStr">
        <is>
          <t>讲义题+240+真题</t>
        </is>
      </c>
      <c r="E5" s="154" t="inlineStr">
        <is>
          <t>限时做2组计算题</t>
        </is>
      </c>
      <c r="F5" s="154" t="inlineStr">
        <is>
          <t>指标公式能直接调用且草稿不跳步</t>
        </is>
      </c>
      <c r="G5" s="154" t="inlineStr">
        <is>
          <t>公式混淆、单位/系数漏写</t>
        </is>
      </c>
      <c r="H5" s="155" t="inlineStr">
        <is>
          <t>基础一轮/二轮</t>
        </is>
      </c>
    </row>
    <row r="6" ht="64" customHeight="1" s="87">
      <c r="A6" s="153" t="inlineStr">
        <is>
          <t>稳定性</t>
        </is>
      </c>
      <c r="B6" s="154" t="inlineStr">
        <is>
          <t>Routh、Nyquist稳定判据、根轨迹稳定区间</t>
        </is>
      </c>
      <c r="C6" s="154" t="inlineStr">
        <is>
          <t>判稳、参数范围、临界稳定</t>
        </is>
      </c>
      <c r="D6" s="154" t="inlineStr">
        <is>
          <t>课本例题+240+真题</t>
        </is>
      </c>
      <c r="E6" s="154" t="inlineStr">
        <is>
          <t>每周归档1类参数题</t>
        </is>
      </c>
      <c r="F6" s="154" t="inlineStr">
        <is>
          <t>能说明判据选择理由</t>
        </is>
      </c>
      <c r="G6" s="154" t="inlineStr">
        <is>
          <t>条件漏写、边界点处理错</t>
        </is>
      </c>
      <c r="H6" s="155" t="inlineStr">
        <is>
          <t>2026-09入门→2027-02一轮→真题阶段</t>
        </is>
      </c>
    </row>
    <row r="7" ht="64" customHeight="1" s="87">
      <c r="A7" s="153" t="inlineStr">
        <is>
          <t>频域分析</t>
        </is>
      </c>
      <c r="B7" s="154" t="inlineStr">
        <is>
          <t>Bode、Nyquist、裕度、开环频率特性</t>
        </is>
      </c>
      <c r="C7" s="154" t="inlineStr">
        <is>
          <t>幅相曲线、稳定裕度、频域指标</t>
        </is>
      </c>
      <c r="D7" s="154" t="inlineStr">
        <is>
          <t>讲义+240+真题</t>
        </is>
      </c>
      <c r="E7" s="154" t="inlineStr">
        <is>
          <t>画图题保留步骤并扫描</t>
        </is>
      </c>
      <c r="F7" s="154" t="inlineStr">
        <is>
          <t>能从图读指标并反推系统性质</t>
        </is>
      </c>
      <c r="G7" s="154" t="inlineStr">
        <is>
          <t>相位/穿越频率读错</t>
        </is>
      </c>
      <c r="H7" s="155" t="inlineStr">
        <is>
          <t>2026-08至2027-09</t>
        </is>
      </c>
    </row>
    <row r="8" ht="64" customHeight="1" s="87">
      <c r="A8" s="153" t="inlineStr">
        <is>
          <t>根轨迹</t>
        </is>
      </c>
      <c r="B8" s="154" t="inlineStr">
        <is>
          <t>根轨迹规则、渐近线、分离点、参数变化</t>
        </is>
      </c>
      <c r="C8" s="154" t="inlineStr">
        <is>
          <t>画根轨迹、判断动态性能、参数设计</t>
        </is>
      </c>
      <c r="D8" s="154" t="inlineStr">
        <is>
          <t>课本+芝麻研行专题</t>
        </is>
      </c>
      <c r="E8" s="154" t="inlineStr">
        <is>
          <t>每周至少1题完整画图</t>
        </is>
      </c>
      <c r="F8" s="154" t="inlineStr">
        <is>
          <t>能按规则完整作图</t>
        </is>
      </c>
      <c r="G8" s="154" t="inlineStr">
        <is>
          <t>漏渐近线/出射角/交点</t>
        </is>
      </c>
      <c r="H8" s="155" t="inlineStr">
        <is>
          <t>2026-09入门→2027-02一轮→2027-07专题</t>
        </is>
      </c>
    </row>
    <row r="9" ht="64" customHeight="1" s="87">
      <c r="A9" s="153" t="inlineStr">
        <is>
          <t>校正与综合设计</t>
        </is>
      </c>
      <c r="B9" s="154" t="inlineStr">
        <is>
          <t>串联校正、反馈校正、性能指标约束</t>
        </is>
      </c>
      <c r="C9" s="154" t="inlineStr">
        <is>
          <t>校正网络设计、综合分析题</t>
        </is>
      </c>
      <c r="D9" s="154" t="inlineStr">
        <is>
          <t>芝麻研行+100题+真题</t>
        </is>
      </c>
      <c r="E9" s="154" t="inlineStr">
        <is>
          <t>按“指标→方案→验证”写步骤</t>
        </is>
      </c>
      <c r="F9" s="154" t="inlineStr">
        <is>
          <t>能解释为什么选该校正方式</t>
        </is>
      </c>
      <c r="G9" s="154" t="inlineStr">
        <is>
          <t>只套公式不检查指标</t>
        </is>
      </c>
      <c r="H9" s="155" t="inlineStr">
        <is>
          <t>2026-11概念→2027-02一轮→2027-07专题→真题</t>
        </is>
      </c>
    </row>
    <row r="10" ht="64" customHeight="1" s="87">
      <c r="A10" s="153" t="inlineStr">
        <is>
          <t>状态空间/现代控制入口</t>
        </is>
      </c>
      <c r="B10" s="154" t="inlineStr">
        <is>
          <t>状态方程、能控能观、矩阵表示</t>
        </is>
      </c>
      <c r="C10" s="154" t="inlineStr">
        <is>
          <t>状态模型建立、能控能观判断</t>
        </is>
      </c>
      <c r="D10" s="154" t="inlineStr">
        <is>
          <t>教材+讲义+其他校题少量</t>
        </is>
      </c>
      <c r="E10" s="154" t="inlineStr">
        <is>
          <t>每周1组定义题/计算题</t>
        </is>
      </c>
      <c r="F10" s="154" t="inlineStr">
        <is>
          <t>定义清楚，计算步骤完整</t>
        </is>
      </c>
      <c r="G10" s="154" t="inlineStr">
        <is>
          <t>矩阵维度错、符号漏项</t>
        </is>
      </c>
      <c r="H10" s="155" t="inlineStr">
        <is>
          <t>按当年822范围调整</t>
        </is>
      </c>
    </row>
    <row r="11" ht="64" customHeight="1" s="87">
      <c r="A11" s="153" t="inlineStr">
        <is>
          <t>真题/大套卷</t>
        </is>
      </c>
      <c r="B11" s="154" t="inlineStr">
        <is>
          <t>清华题型、结论、计算与书写规范</t>
        </is>
      </c>
      <c r="C11" s="154" t="inlineStr">
        <is>
          <t>整套卷、历年题型归类、冲刺卷</t>
        </is>
      </c>
      <c r="D11" s="154" t="inlineStr">
        <is>
          <t>真题+大套卷+冲刺卷</t>
        </is>
      </c>
      <c r="E11" s="154" t="inlineStr">
        <is>
          <t>两天一套：限时+复盘</t>
        </is>
      </c>
      <c r="F11" s="154" t="inlineStr">
        <is>
          <t>能把错题回到矩阵模块</t>
        </is>
      </c>
      <c r="G11" s="154" t="inlineStr">
        <is>
          <t>只看答案、不回课本</t>
        </is>
      </c>
      <c r="H11" s="155" t="inlineStr">
        <is>
          <t>2027-09至考前</t>
        </is>
      </c>
    </row>
    <row r="12" ht="64" customHeight="1" s="87">
      <c r="A12" s="156" t="inlineStr">
        <is>
          <t>跨校补题</t>
        </is>
      </c>
      <c r="B12" s="157" t="inlineStr">
        <is>
          <t>只补清华相似题型，不偏航</t>
        </is>
      </c>
      <c r="C12" s="157" t="inlineStr">
        <is>
          <t>其他学校控制题选做</t>
        </is>
      </c>
      <c r="D12" s="157" t="inlineStr">
        <is>
          <t>其他学校题+100题</t>
        </is>
      </c>
      <c r="E12" s="157" t="inlineStr">
        <is>
          <t>每周最多1组</t>
        </is>
      </c>
      <c r="F12" s="157" t="inlineStr">
        <is>
          <t>补漏洞而不是扩资料</t>
        </is>
      </c>
      <c r="G12" s="157" t="inlineStr">
        <is>
          <t>资料膨胀</t>
        </is>
      </c>
      <c r="H12" s="158" t="inlineStr">
        <is>
          <t>2027-10以后</t>
        </is>
      </c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</row>
    <row r="14">
      <c r="A14" s="167" t="inlineStr">
        <is>
          <t>官网节点与阶段阈值：用于防止复试/报名/信息更新被忽略。</t>
        </is>
      </c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</row>
    <row r="16">
      <c r="A16" s="126" t="inlineStr">
        <is>
          <t>时间</t>
        </is>
      </c>
      <c r="B16" s="127" t="inlineStr">
        <is>
          <t>检查事项</t>
        </is>
      </c>
      <c r="C16" s="127" t="inlineStr">
        <is>
          <t>具体动作</t>
        </is>
      </c>
      <c r="D16" s="127" t="inlineStr">
        <is>
          <t>触发条件</t>
        </is>
      </c>
      <c r="E16" s="127" t="inlineStr">
        <is>
          <t>计划调整</t>
        </is>
      </c>
      <c r="F16" s="127" t="inlineStr">
        <is>
          <t>记录位置</t>
        </is>
      </c>
      <c r="G16" s="127" t="inlineStr">
        <is>
          <t>风险</t>
        </is>
      </c>
      <c r="H16" s="128" t="inlineStr">
        <is>
          <t>提醒</t>
        </is>
      </c>
    </row>
    <row r="17" ht="58" customHeight="1" s="87">
      <c r="A17" s="153" t="inlineStr">
        <is>
          <t>2026-09至10</t>
        </is>
      </c>
      <c r="B17" s="154" t="inlineStr">
        <is>
          <t>当年招生目录/专业课说明</t>
        </is>
      </c>
      <c r="C17" s="154" t="inlineStr">
        <is>
          <t>核对822、车辆学院方向、报名条件</t>
        </is>
      </c>
      <c r="D17" s="154" t="inlineStr">
        <is>
          <t>官方目录发布后</t>
        </is>
      </c>
      <c r="E17" s="154" t="inlineStr">
        <is>
          <t>若科目变动，立即改03/08</t>
        </is>
      </c>
      <c r="F17" s="154" t="inlineStr">
        <is>
          <t>08/09</t>
        </is>
      </c>
      <c r="G17" s="154" t="inlineStr">
        <is>
          <t>旧资料失效</t>
        </is>
      </c>
      <c r="H17" s="155" t="inlineStr">
        <is>
          <t>以研招网和车辆学院官网为准</t>
        </is>
      </c>
    </row>
    <row r="18" ht="58" customHeight="1" s="87">
      <c r="A18" s="153" t="inlineStr">
        <is>
          <t>2026-11至12</t>
        </is>
      </c>
      <c r="B18" s="154" t="inlineStr">
        <is>
          <t>报名/确认/准考证类节点</t>
        </is>
      </c>
      <c r="C18" s="154" t="inlineStr">
        <is>
          <t>建立行政清单：报名、确认、缴费、准考证</t>
        </is>
      </c>
      <c r="D18" s="154" t="inlineStr">
        <is>
          <t>研招网通知</t>
        </is>
      </c>
      <c r="E18" s="154" t="inlineStr">
        <is>
          <t>不占主块，只用碎片时间核对</t>
        </is>
      </c>
      <c r="F18" s="154" t="inlineStr">
        <is>
          <t>08</t>
        </is>
      </c>
      <c r="G18" s="154" t="inlineStr">
        <is>
          <t>错过流程</t>
        </is>
      </c>
      <c r="H18" s="155" t="inlineStr">
        <is>
          <t>每周一次官网核对</t>
        </is>
      </c>
    </row>
    <row r="19" ht="58" customHeight="1" s="87">
      <c r="A19" s="153" t="inlineStr">
        <is>
          <t>2027-03</t>
        </is>
      </c>
      <c r="B19" s="154" t="inlineStr">
        <is>
          <t>芝麻研行/专业课资料</t>
        </is>
      </c>
      <c r="C19" s="154" t="inlineStr">
        <is>
          <t>3月可购买并核对目录</t>
        </is>
      </c>
      <c r="D19" s="154" t="inlineStr">
        <is>
          <t>资料更新</t>
        </is>
      </c>
      <c r="E19" s="154" t="inlineStr">
        <is>
          <t>822一轮与专题矩阵对齐</t>
        </is>
      </c>
      <c r="F19" s="154" t="inlineStr">
        <is>
          <t>08</t>
        </is>
      </c>
      <c r="G19" s="154" t="inlineStr">
        <is>
          <t>资料太多</t>
        </is>
      </c>
      <c r="H19" s="155" t="inlineStr">
        <is>
          <t>只买与822强相关资料</t>
        </is>
      </c>
    </row>
    <row r="20" ht="58" customHeight="1" s="87">
      <c r="A20" s="153" t="inlineStr">
        <is>
          <t>2027-09</t>
        </is>
      </c>
      <c r="B20" s="154" t="inlineStr">
        <is>
          <t>2028届招生目录预计更新窗口</t>
        </is>
      </c>
      <c r="C20" s="154" t="inlineStr">
        <is>
          <t>重新核对专业课822、复试专业综合科目</t>
        </is>
      </c>
      <c r="D20" s="154" t="inlineStr">
        <is>
          <t>新目录发布</t>
        </is>
      </c>
      <c r="E20" s="154" t="inlineStr">
        <is>
          <t>若科目变化，优先改09复试附表</t>
        </is>
      </c>
      <c r="F20" s="154" t="inlineStr">
        <is>
          <t>09</t>
        </is>
      </c>
      <c r="G20" s="154" t="inlineStr">
        <is>
          <t>复试科目滞后</t>
        </is>
      </c>
      <c r="H20" s="155" t="inlineStr">
        <is>
          <t>不等到初试后再第一次看</t>
        </is>
      </c>
    </row>
    <row r="21" ht="58" customHeight="1" s="87">
      <c r="A21" s="153" t="inlineStr">
        <is>
          <t>2027-12-19后</t>
        </is>
      </c>
      <c r="B21" s="154" t="inlineStr">
        <is>
          <t>复试切换</t>
        </is>
      </c>
      <c r="C21" s="154" t="inlineStr">
        <is>
          <t>休息2-3天后建立复试清单</t>
        </is>
      </c>
      <c r="D21" s="154" t="inlineStr">
        <is>
          <t>估分接近线/过线概率高</t>
        </is>
      </c>
      <c r="E21" s="154" t="inlineStr">
        <is>
          <t>每天4-6h转复试</t>
        </is>
      </c>
      <c r="F21" s="154" t="inlineStr">
        <is>
          <t>09</t>
        </is>
      </c>
      <c r="G21" s="154" t="inlineStr">
        <is>
          <t>初试后空窗</t>
        </is>
      </c>
      <c r="H21" s="155" t="inlineStr">
        <is>
          <t>先准备汽车理论/电子学/英语自述</t>
        </is>
      </c>
    </row>
    <row r="22" ht="58" customHeight="1" s="87">
      <c r="A22" s="153" t="inlineStr">
        <is>
          <t>2028-02</t>
        </is>
      </c>
      <c r="B22" s="154" t="inlineStr">
        <is>
          <t>初试成绩/复试线/复试名单</t>
        </is>
      </c>
      <c r="C22" s="154" t="inlineStr">
        <is>
          <t>每天核对研招网与车辆学院官网</t>
        </is>
      </c>
      <c r="D22" s="154" t="inlineStr">
        <is>
          <t>成绩发布后</t>
        </is>
      </c>
      <c r="E22" s="154" t="inlineStr">
        <is>
          <t>进入复试冲刺</t>
        </is>
      </c>
      <c r="F22" s="154" t="inlineStr">
        <is>
          <t>09</t>
        </is>
      </c>
      <c r="G22" s="154" t="inlineStr">
        <is>
          <t>材料节点漏掉</t>
        </is>
      </c>
      <c r="H22" s="155" t="inlineStr">
        <is>
          <t>所有材料建文件夹</t>
        </is>
      </c>
    </row>
    <row r="23" ht="58" customHeight="1" s="87">
      <c r="A23" s="153" t="inlineStr">
        <is>
          <t>2028-03</t>
        </is>
      </c>
      <c r="B23" s="154" t="inlineStr">
        <is>
          <t>复试实施细则</t>
        </is>
      </c>
      <c r="C23" s="154" t="inlineStr">
        <is>
          <t>核对笔试科目、面试形式、权重、时间地点</t>
        </is>
      </c>
      <c r="D23" s="154" t="inlineStr">
        <is>
          <t>院系通知发布</t>
        </is>
      </c>
      <c r="E23" s="154" t="inlineStr">
        <is>
          <t>若与旧表冲突，以官网为准</t>
        </is>
      </c>
      <c r="F23" s="154" t="inlineStr">
        <is>
          <t>09</t>
        </is>
      </c>
      <c r="G23" s="154" t="inlineStr">
        <is>
          <t>旧规则误导</t>
        </is>
      </c>
      <c r="H23" s="155" t="inlineStr">
        <is>
          <t>复试前一周只演练流程</t>
        </is>
      </c>
    </row>
    <row r="24" ht="58" customHeight="1" s="87">
      <c r="A24" s="153" t="inlineStr">
        <is>
          <t>任何阶段</t>
        </is>
      </c>
      <c r="B24" s="154" t="inlineStr">
        <is>
          <t>计划失真</t>
        </is>
      </c>
      <c r="C24" s="154" t="inlineStr">
        <is>
          <t>周完成率&lt;70%或连续两周欠账</t>
        </is>
      </c>
      <c r="D24" s="154" t="inlineStr">
        <is>
          <t>低完成率</t>
        </is>
      </c>
      <c r="E24" s="154" t="inlineStr">
        <is>
          <t>下周新内容减20%</t>
        </is>
      </c>
      <c r="F24" s="154" t="inlineStr">
        <is>
          <t>06</t>
        </is>
      </c>
      <c r="G24" s="154" t="inlineStr">
        <is>
          <t>计划膨胀</t>
        </is>
      </c>
      <c r="H24" s="155" t="inlineStr">
        <is>
          <t>先补欠账再加资料</t>
        </is>
      </c>
    </row>
    <row r="25" ht="58" customHeight="1" s="87">
      <c r="A25" s="156" t="inlineStr">
        <is>
          <t>任何阶段</t>
        </is>
      </c>
      <c r="B25" s="157" t="inlineStr">
        <is>
          <t>资料冲突</t>
        </is>
      </c>
      <c r="C25" s="157" t="inlineStr">
        <is>
          <t>文本框最新大纲 &gt; 03周度页 &gt; 旧稿/网络经验</t>
        </is>
      </c>
      <c r="D25" s="157" t="inlineStr">
        <is>
          <t>信息冲突</t>
        </is>
      </c>
      <c r="E25" s="157" t="inlineStr">
        <is>
          <t>只保留一条主线</t>
        </is>
      </c>
      <c r="F25" s="157" t="inlineStr">
        <is>
          <t>01/03</t>
        </is>
      </c>
      <c r="G25" s="157" t="inlineStr">
        <is>
          <t>多头规划</t>
        </is>
      </c>
      <c r="H25" s="158" t="inlineStr">
        <is>
          <t>旧总体规划仅归档</t>
        </is>
      </c>
    </row>
  </sheetData>
  <mergeCells count="2">
    <mergeCell ref="A14:H14"/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sheetData>
    <row r="1">
      <c r="A1" s="191" t="inlineStr">
        <is>
          <t>10｜详细周阶梯（备查版）</t>
        </is>
      </c>
      <c r="B1" s="191" t="inlineStr">
        <is>
          <t>10｜详细周阶梯（备查版）</t>
        </is>
      </c>
      <c r="C1" s="191" t="inlineStr">
        <is>
          <t>10｜详细周阶梯（备查版）</t>
        </is>
      </c>
      <c r="D1" s="191" t="inlineStr">
        <is>
          <t>10｜详细周阶梯（备查版）</t>
        </is>
      </c>
      <c r="E1" s="191" t="inlineStr">
        <is>
          <t>10｜详细周阶梯（备查版）</t>
        </is>
      </c>
      <c r="F1" s="191" t="inlineStr">
        <is>
          <t>10｜详细周阶梯（备查版）</t>
        </is>
      </c>
      <c r="G1" s="191" t="inlineStr">
        <is>
          <t>10｜详细周阶梯（备查版）</t>
        </is>
      </c>
      <c r="H1" s="191" t="inlineStr">
        <is>
          <t>10｜详细周阶梯（备查版）</t>
        </is>
      </c>
      <c r="I1" s="191" t="n"/>
      <c r="J1" s="191" t="n"/>
    </row>
    <row r="2">
      <c r="A2" s="108" t="inlineStr">
        <is>
          <t>使用原则：本页是唯一周度主线；如果课程/雅思/突发任务冲突，只压缩轻任务，不擅自跳过数学错题、822结论卡、英语复习任务。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</row>
    <row r="3">
      <c r="A3" s="108" t="inlineStr">
        <is>
          <t>月份</t>
        </is>
      </c>
      <c r="B3" s="108" t="inlineStr">
        <is>
          <t>周次</t>
        </is>
      </c>
      <c r="C3" s="108" t="inlineStr">
        <is>
          <t>准确日期/周重点</t>
        </is>
      </c>
      <c r="D3" s="108" t="inlineStr">
        <is>
          <t>数学一</t>
        </is>
      </c>
      <c r="E3" s="108" t="inlineStr">
        <is>
          <t>英语/雅思</t>
        </is>
      </c>
      <c r="F3" s="108" t="inlineStr">
        <is>
          <t>政治</t>
        </is>
      </c>
      <c r="G3" s="108" t="inlineStr">
        <is>
          <t>822控制工程</t>
        </is>
      </c>
      <c r="H3" s="108" t="inlineStr">
        <is>
          <t>周验收口径</t>
        </is>
      </c>
      <c r="I3" s="108" t="inlineStr">
        <is>
          <t>建议有效学习h/日</t>
        </is>
      </c>
      <c r="J3" s="108" t="inlineStr">
        <is>
          <t>状态</t>
        </is>
      </c>
    </row>
    <row r="4">
      <c r="A4" s="108" t="inlineStr">
        <is>
          <t>2026-08</t>
        </is>
      </c>
      <c r="B4" s="108" t="inlineStr">
        <is>
          <t>第1周</t>
        </is>
      </c>
      <c r="C4" s="108" t="inlineStr">
        <is>
          <t>8/4-8/9｜推进周</t>
        </is>
      </c>
      <c r="D4" s="108" t="inlineStr">
        <is>
          <t>高数基础：30讲第1/3/4讲，1000A对应题；每天错题≥10道，2/6/11先跳过</t>
        </is>
      </c>
      <c r="E4" s="108" t="inlineStr">
        <is>
          <t>雅思W1：词汇100/日；听音朗读/听英想中/听英写英；精翻阅读2篇/日</t>
        </is>
      </c>
      <c r="F4" s="108" t="inlineStr">
        <is>
          <t>政治：不安排</t>
        </is>
      </c>
      <c r="G4" s="108" t="inlineStr">
        <is>
          <t>822入门：反馈结构、传递函数、开环/闭环；做1张结论卡</t>
        </is>
      </c>
      <c r="H4" s="108" t="inlineStr">
        <is>
          <t>周验收：高数完成指定讲次+错题≥70道；雅思词汇复习100%；822完成1组结论卡</t>
        </is>
      </c>
      <c r="I4" s="108" t="n">
        <v>6</v>
      </c>
      <c r="J4" s="108" t="inlineStr">
        <is>
          <t>未开始</t>
        </is>
      </c>
    </row>
    <row r="5">
      <c r="A5" s="108" t="inlineStr">
        <is>
          <t>2026-08</t>
        </is>
      </c>
      <c r="B5" s="108" t="inlineStr">
        <is>
          <t>第2周</t>
        </is>
      </c>
      <c r="C5" s="108" t="inlineStr">
        <is>
          <t>8/10-8/16｜推进周</t>
        </is>
      </c>
      <c r="D5" s="108" t="inlineStr">
        <is>
          <t>高数基础：30讲第5/7/8讲，1000A对应题；回做上周错题≥50道</t>
        </is>
      </c>
      <c r="E5" s="108" t="inlineStr">
        <is>
          <t>雅思W2：词汇100/日；精翻阅读2篇/日；听力错因分类</t>
        </is>
      </c>
      <c r="F5" s="108" t="inlineStr">
        <is>
          <t>政治：不安排</t>
        </is>
      </c>
      <c r="G5" s="108" t="inlineStr">
        <is>
          <t>822入门：时域指标、阶跃响应、稳态误差；基础题2组</t>
        </is>
      </c>
      <c r="H5" s="108" t="inlineStr">
        <is>
          <t>周验收：高数完成指定讲次+错题≥70道；雅思词汇复习100%；822完成1组结论卡</t>
        </is>
      </c>
      <c r="I5" s="108" t="n">
        <v>6</v>
      </c>
      <c r="J5" s="108" t="inlineStr">
        <is>
          <t>未开始</t>
        </is>
      </c>
    </row>
    <row r="6">
      <c r="A6" s="108" t="inlineStr">
        <is>
          <t>2026-08</t>
        </is>
      </c>
      <c r="B6" s="108" t="inlineStr">
        <is>
          <t>第3周</t>
        </is>
      </c>
      <c r="C6" s="108" t="inlineStr">
        <is>
          <t>8/17-8/23｜推进周</t>
        </is>
      </c>
      <c r="D6" s="108" t="inlineStr">
        <is>
          <t>高数基础：30讲第9/10/12讲，1000A对应题；核心计算讲义补薄弱题型</t>
        </is>
      </c>
      <c r="E6" s="108" t="inlineStr">
        <is>
          <t>雅思W3：Sun听读方法论；阅读定位训练；写作框架初稿</t>
        </is>
      </c>
      <c r="F6" s="108" t="inlineStr">
        <is>
          <t>政治：不安排</t>
        </is>
      </c>
      <c r="G6" s="108" t="inlineStr">
        <is>
          <t>822入门：稳定性判据、误差系数；整理易混概念</t>
        </is>
      </c>
      <c r="H6" s="108" t="inlineStr">
        <is>
          <t>周验收：高数完成指定讲次+错题≥70道；雅思词汇复习100%；822完成1组结论卡</t>
        </is>
      </c>
      <c r="I6" s="108" t="n">
        <v>6</v>
      </c>
      <c r="J6" s="108" t="inlineStr">
        <is>
          <t>未开始</t>
        </is>
      </c>
    </row>
    <row r="7">
      <c r="A7" s="108" t="inlineStr">
        <is>
          <t>2026-08</t>
        </is>
      </c>
      <c r="B7" s="108" t="inlineStr">
        <is>
          <t>第4周</t>
        </is>
      </c>
      <c r="C7" s="108" t="inlineStr">
        <is>
          <t>8/24-8/30｜月度收口/复盘</t>
        </is>
      </c>
      <c r="D7" s="108" t="inlineStr">
        <is>
          <t>高数基础：30讲第13/14/15讲，1000A阶段小测；列出正确率&lt;50%的章</t>
        </is>
      </c>
      <c r="E7" s="108" t="inlineStr">
        <is>
          <t>雅思W4：口语素材Part1/2；作文框架；1次听读小模考</t>
        </is>
      </c>
      <c r="F7" s="108" t="inlineStr">
        <is>
          <t>政治：不安排</t>
        </is>
      </c>
      <c r="G7" s="108" t="inlineStr">
        <is>
          <t>822入门：频域/Bode/Nyquist；建立题型符号表</t>
        </is>
      </c>
      <c r="H7" s="108" t="inlineStr">
        <is>
          <t>周验收：高数完成指定讲次+错题≥70道；雅思词汇复习100%；822完成1组结论卡</t>
        </is>
      </c>
      <c r="I7" s="108" t="n">
        <v>6</v>
      </c>
      <c r="J7" s="108" t="inlineStr">
        <is>
          <t>未开始</t>
        </is>
      </c>
    </row>
    <row r="8">
      <c r="A8" s="108" t="inlineStr">
        <is>
          <t>2026-09</t>
        </is>
      </c>
      <c r="B8" s="108" t="inlineStr">
        <is>
          <t>第1周</t>
        </is>
      </c>
      <c r="C8" s="108" t="inlineStr">
        <is>
          <t>8/31-9/6｜推进周</t>
        </is>
      </c>
      <c r="D8" s="108" t="inlineStr">
        <is>
          <t>高数基础：30讲第16-18讲，1000A对应；核心计算讲义导数/积分计算</t>
        </is>
      </c>
      <c r="E8" s="108" t="inlineStr">
        <is>
          <t>雅思：听力Section1-2专项；阅读判断/匹配题；词汇复习100%</t>
        </is>
      </c>
      <c r="F8" s="108" t="inlineStr">
        <is>
          <t>政治：不安排</t>
        </is>
      </c>
      <c r="G8" s="108" t="inlineStr">
        <is>
          <t>822基础：数学模型与方块图化简；题型卡1组</t>
        </is>
      </c>
      <c r="H8" s="108" t="inlineStr">
        <is>
          <t>周验收：高数完成指定讲次+错题≥70道；雅思词汇复习100%；822完成1组结论卡</t>
        </is>
      </c>
      <c r="I8" s="108" t="n">
        <v>6</v>
      </c>
      <c r="J8" s="108" t="inlineStr">
        <is>
          <t>未开始</t>
        </is>
      </c>
    </row>
    <row r="9">
      <c r="A9" s="108" t="inlineStr">
        <is>
          <t>2026-09</t>
        </is>
      </c>
      <c r="B9" s="108" t="inlineStr">
        <is>
          <t>第2周</t>
        </is>
      </c>
      <c r="C9" s="108" t="inlineStr">
        <is>
          <t>9/7-9/13｜推进周</t>
        </is>
      </c>
      <c r="D9" s="108" t="inlineStr">
        <is>
          <t>高数基础：30讲第19-21讲，1000A对应；错题符号标注统一</t>
        </is>
      </c>
      <c r="E9" s="108" t="inlineStr">
        <is>
          <t>雅思：听力Section3-4专项；阅读长难句精翻；写作Task1框架</t>
        </is>
      </c>
      <c r="F9" s="108" t="inlineStr">
        <is>
          <t>政治：不安排</t>
        </is>
      </c>
      <c r="G9" s="108" t="inlineStr">
        <is>
          <t>822基础：时域响应与稳定性；错题标注圆/方/星/三角</t>
        </is>
      </c>
      <c r="H9" s="108" t="inlineStr">
        <is>
          <t>周验收：高数完成指定讲次+错题≥70道；雅思词汇复习100%；822完成1组结论卡</t>
        </is>
      </c>
      <c r="I9" s="108" t="n">
        <v>6</v>
      </c>
      <c r="J9" s="108" t="inlineStr">
        <is>
          <t>未开始</t>
        </is>
      </c>
    </row>
    <row r="10">
      <c r="A10" s="108" t="inlineStr">
        <is>
          <t>2026-09</t>
        </is>
      </c>
      <c r="B10" s="108" t="inlineStr">
        <is>
          <t>第3周</t>
        </is>
      </c>
      <c r="C10" s="108" t="inlineStr">
        <is>
          <t>9/14-9/20｜推进周</t>
        </is>
      </c>
      <c r="D10" s="108" t="inlineStr">
        <is>
          <t>高数基础：30讲第22-25讲，1000A对应；补2/6/11中最必要内容</t>
        </is>
      </c>
      <c r="E10" s="108" t="inlineStr">
        <is>
          <t>雅思：口语Part2素材库；写作Task2观点库；1套听读限时</t>
        </is>
      </c>
      <c r="F10" s="108" t="inlineStr">
        <is>
          <t>政治：不安排</t>
        </is>
      </c>
      <c r="G10" s="108" t="inlineStr">
        <is>
          <t>822基础：根轨迹/频域初步；补讲义例题</t>
        </is>
      </c>
      <c r="H10" s="108" t="inlineStr">
        <is>
          <t>周验收：高数完成指定讲次+错题≥70道；雅思词汇复习100%；822完成1组结论卡</t>
        </is>
      </c>
      <c r="I10" s="108" t="n">
        <v>6</v>
      </c>
      <c r="J10" s="108" t="inlineStr">
        <is>
          <t>未开始</t>
        </is>
      </c>
    </row>
    <row r="11">
      <c r="A11" s="108" t="inlineStr">
        <is>
          <t>2026-09</t>
        </is>
      </c>
      <c r="B11" s="108" t="inlineStr">
        <is>
          <t>第4周</t>
        </is>
      </c>
      <c r="C11" s="108" t="inlineStr">
        <is>
          <t>9/21-9/27｜月度收口/复盘</t>
        </is>
      </c>
      <c r="D11" s="108" t="inlineStr">
        <is>
          <t>高数基础收口：30讲第26-30讲；统计1000A一刷正确率并分流；正确率≥60%立即启动A4大法</t>
        </is>
      </c>
      <c r="E11" s="108" t="inlineStr">
        <is>
          <t>雅思：完整听读模考1次；作文2篇修改；口语录音复盘2次</t>
        </is>
      </c>
      <c r="F11" s="108" t="inlineStr">
        <is>
          <t>政治：不安排</t>
        </is>
      </c>
      <c r="G11" s="108" t="inlineStr">
        <is>
          <t>822基础：串联校正/反馈校正概念；月末小测</t>
        </is>
      </c>
      <c r="H11" s="108" t="inlineStr">
        <is>
          <t>周验收：高数完成指定讲次+错题≥70道；雅思词汇复习100%；822完成1组结论卡</t>
        </is>
      </c>
      <c r="I11" s="108" t="n">
        <v>6</v>
      </c>
      <c r="J11" s="108" t="inlineStr">
        <is>
          <t>未开始</t>
        </is>
      </c>
    </row>
    <row r="12">
      <c r="A12" s="108" t="inlineStr">
        <is>
          <t>2026-10</t>
        </is>
      </c>
      <c r="B12" s="108" t="inlineStr">
        <is>
          <t>第1周</t>
        </is>
      </c>
      <c r="C12" s="108" t="inlineStr">
        <is>
          <t>9/28-10/4｜推进周</t>
        </is>
      </c>
      <c r="D12" s="108" t="inlineStr">
        <is>
          <t>高数基础验收：零基础讲义目录逐项打勾；核心计算讲义第一轮完成</t>
        </is>
      </c>
      <c r="E12" s="108" t="inlineStr">
        <is>
          <t>雅思冲刺：听读套题2套；作文Task1/Task2各1篇</t>
        </is>
      </c>
      <c r="F12" s="108" t="inlineStr">
        <is>
          <t>政治：不安排</t>
        </is>
      </c>
      <c r="G12" s="108" t="inlineStr">
        <is>
          <t>822基础目录验收：传递函数/方块图；课后题第1组</t>
        </is>
      </c>
      <c r="H12" s="108" t="inlineStr">
        <is>
          <t>周验收：高数完成指定讲次+错题≥70道；雅思词汇复习100%；822完成1组结论卡</t>
        </is>
      </c>
      <c r="I12" s="108" t="n">
        <v>6</v>
      </c>
      <c r="J12" s="108" t="inlineStr">
        <is>
          <t>未开始</t>
        </is>
      </c>
    </row>
    <row r="13">
      <c r="A13" s="108" t="inlineStr">
        <is>
          <t>2026-10</t>
        </is>
      </c>
      <c r="B13" s="108" t="inlineStr">
        <is>
          <t>第2周</t>
        </is>
      </c>
      <c r="C13" s="108" t="inlineStr">
        <is>
          <t>10/5-10/11｜推进周</t>
        </is>
      </c>
      <c r="D13" s="108" t="inlineStr">
        <is>
          <t>1000A错题回做：按9月底分流结果执行，正确率≤50%章节只回讲义</t>
        </is>
      </c>
      <c r="E13" s="108" t="inlineStr">
        <is>
          <t>雅思冲刺：口语Part1/2/3全流程；作文修改2轮</t>
        </is>
      </c>
      <c r="F13" s="108" t="inlineStr">
        <is>
          <t>政治：不安排</t>
        </is>
      </c>
      <c r="G13" s="108" t="inlineStr">
        <is>
          <t>822基础目录验收：时域/稳定性；课后题第2组</t>
        </is>
      </c>
      <c r="H13" s="108" t="inlineStr">
        <is>
          <t>周验收：高数完成指定讲次+错题≥70道；雅思词汇复习100%；822完成1组结论卡</t>
        </is>
      </c>
      <c r="I13" s="108" t="n">
        <v>6</v>
      </c>
      <c r="J13" s="108" t="inlineStr">
        <is>
          <t>未开始</t>
        </is>
      </c>
    </row>
    <row r="14">
      <c r="A14" s="108" t="inlineStr">
        <is>
          <t>2026-10</t>
        </is>
      </c>
      <c r="B14" s="108" t="inlineStr">
        <is>
          <t>第3周</t>
        </is>
      </c>
      <c r="C14" s="108" t="inlineStr">
        <is>
          <t>10/12-10/18｜推进周</t>
        </is>
      </c>
      <c r="D14" s="108" t="inlineStr">
        <is>
          <t>高数补弱：30讲跳过章节2/6/11回补；每天10道错题+2组计算题</t>
        </is>
      </c>
      <c r="E14" s="108" t="inlineStr">
        <is>
          <t>雅思冲刺：完整模考1套；Lexi写作反馈；整理高频错词</t>
        </is>
      </c>
      <c r="F14" s="108" t="inlineStr">
        <is>
          <t>政治：不安排</t>
        </is>
      </c>
      <c r="G14" s="108" t="inlineStr">
        <is>
          <t>822基础目录验收：频域/校正；课后题第3组</t>
        </is>
      </c>
      <c r="H14" s="108" t="inlineStr">
        <is>
          <t>周验收：高数完成指定讲次+错题≥70道；雅思词汇复习100%；822完成1组结论卡</t>
        </is>
      </c>
      <c r="I14" s="108" t="n">
        <v>6</v>
      </c>
      <c r="J14" s="108" t="inlineStr">
        <is>
          <t>未开始</t>
        </is>
      </c>
    </row>
    <row r="15">
      <c r="A15" s="108" t="inlineStr">
        <is>
          <t>2026-10</t>
        </is>
      </c>
      <c r="B15" s="108" t="inlineStr">
        <is>
          <t>第4周</t>
        </is>
      </c>
      <c r="C15" s="108" t="inlineStr">
        <is>
          <t>10/19-10/25｜月度收口/复盘</t>
        </is>
      </c>
      <c r="D15" s="108" t="inlineStr">
        <is>
          <t>月末测评：1000A错题重做；确定12月二刷30讲章节清单</t>
        </is>
      </c>
      <c r="E15" s="108" t="inlineStr">
        <is>
          <t>雅思冲刺：考前复盘；考后立即切回考研单词和外刊长难句</t>
        </is>
      </c>
      <c r="F15" s="108" t="inlineStr">
        <is>
          <t>政治：不安排</t>
        </is>
      </c>
      <c r="G15" s="108" t="inlineStr">
        <is>
          <t>822基础总复盘：形成一轮基础缺口清单</t>
        </is>
      </c>
      <c r="H15" s="108" t="inlineStr">
        <is>
          <t>周验收：高数完成指定讲次+错题≥70道；雅思词汇复习100%；822完成1组结论卡</t>
        </is>
      </c>
      <c r="I15" s="108" t="n">
        <v>6</v>
      </c>
      <c r="J15" s="108" t="inlineStr">
        <is>
          <t>未开始</t>
        </is>
      </c>
    </row>
    <row r="16">
      <c r="A16" s="108" t="inlineStr">
        <is>
          <t>2026-11</t>
        </is>
      </c>
      <c r="B16" s="108" t="inlineStr">
        <is>
          <t>第1周</t>
        </is>
      </c>
      <c r="C16" s="108" t="inlineStr">
        <is>
          <t>10/26-11/1｜推进周</t>
        </is>
      </c>
      <c r="D16" s="108" t="inlineStr">
        <is>
          <t>高数复核：30讲第1-8讲错题回看；1000A错题重做</t>
        </is>
      </c>
      <c r="E16" s="108" t="inlineStr">
        <is>
          <t>雅思考前：听读限时+口语录音；作文模板最后调整</t>
        </is>
      </c>
      <c r="F16" s="108" t="inlineStr">
        <is>
          <t>政治：不安排</t>
        </is>
      </c>
      <c r="G16" s="108" t="inlineStr">
        <is>
          <t>822基础：系统建模与反馈结构；讲义错题回做</t>
        </is>
      </c>
      <c r="H16" s="108" t="inlineStr">
        <is>
          <t>周验收：高数完成指定讲次+错题≥70道；雅思词汇复习100%；822完成1组结论卡</t>
        </is>
      </c>
      <c r="I16" s="108" t="n">
        <v>6</v>
      </c>
      <c r="J16" s="108" t="inlineStr">
        <is>
          <t>未开始</t>
        </is>
      </c>
    </row>
    <row r="17">
      <c r="A17" s="108" t="inlineStr">
        <is>
          <t>2026-11</t>
        </is>
      </c>
      <c r="B17" s="108" t="inlineStr">
        <is>
          <t>第2周</t>
        </is>
      </c>
      <c r="C17" s="108" t="inlineStr">
        <is>
          <t>11/2-11/8｜推进周</t>
        </is>
      </c>
      <c r="D17" s="108" t="inlineStr">
        <is>
          <t>高数复核：30讲第9-16讲错题回看；核心计算薄弱项补题</t>
        </is>
      </c>
      <c r="E17" s="108" t="inlineStr">
        <is>
          <t>雅思考试周：轻复盘，不硬开考研英语新任务</t>
        </is>
      </c>
      <c r="F17" s="108" t="inlineStr">
        <is>
          <t>政治：不安排</t>
        </is>
      </c>
      <c r="G17" s="108" t="inlineStr">
        <is>
          <t>822基础：时域响应与稳定性；题型卡更新</t>
        </is>
      </c>
      <c r="H17" s="108" t="inlineStr">
        <is>
          <t>周验收：高数完成指定讲次+错题≥70道；雅思词汇复习100%；822完成1组结论卡</t>
        </is>
      </c>
      <c r="I17" s="108" t="n">
        <v>6</v>
      </c>
      <c r="J17" s="108" t="inlineStr">
        <is>
          <t>未开始</t>
        </is>
      </c>
    </row>
    <row r="18">
      <c r="A18" s="108" t="inlineStr">
        <is>
          <t>2026-11</t>
        </is>
      </c>
      <c r="B18" s="108" t="inlineStr">
        <is>
          <t>第3周</t>
        </is>
      </c>
      <c r="C18" s="108" t="inlineStr">
        <is>
          <t>11/9-11/15｜推进周</t>
        </is>
      </c>
      <c r="D18" s="108" t="inlineStr">
        <is>
          <t>高数复核：30讲第17-24讲错题回看；开始整理二刷顺序</t>
        </is>
      </c>
      <c r="E18" s="108" t="inlineStr">
        <is>
          <t>考研英语切换：单词50-100/日；外刊长难句第1批</t>
        </is>
      </c>
      <c r="F18" s="108" t="inlineStr">
        <is>
          <t>政治：不安排</t>
        </is>
      </c>
      <c r="G18" s="108" t="inlineStr">
        <is>
          <t>822基础：频域法与Bode；基础题限时</t>
        </is>
      </c>
      <c r="H18" s="108" t="inlineStr">
        <is>
          <t>周验收：高数完成指定讲次+错题≥70道；雅思词汇复习100%；822完成1组结论卡</t>
        </is>
      </c>
      <c r="I18" s="108" t="n">
        <v>6</v>
      </c>
      <c r="J18" s="108" t="inlineStr">
        <is>
          <t>未开始</t>
        </is>
      </c>
    </row>
    <row r="19">
      <c r="A19" s="108" t="inlineStr">
        <is>
          <t>2026-11</t>
        </is>
      </c>
      <c r="B19" s="108" t="inlineStr">
        <is>
          <t>第4周</t>
        </is>
      </c>
      <c r="C19" s="108" t="inlineStr">
        <is>
          <t>11/16-11/22｜推进周</t>
        </is>
      </c>
      <c r="D19" s="108" t="inlineStr">
        <is>
          <t>高数复核：30讲第25-30讲+2/6/11；形成2027年3月前强化清单</t>
        </is>
      </c>
      <c r="E19" s="108" t="inlineStr">
        <is>
          <t>考研英语：单词第1轮继续；外刊长难句第2批</t>
        </is>
      </c>
      <c r="F19" s="108" t="inlineStr">
        <is>
          <t>政治：不安排</t>
        </is>
      </c>
      <c r="G19" s="108" t="inlineStr">
        <is>
          <t>822基础：根轨迹/校正；结论卡复述</t>
        </is>
      </c>
      <c r="H19" s="108" t="inlineStr">
        <is>
          <t>周验收：高数完成指定讲次+错题≥70道；雅思词汇复习100%；822完成1组结论卡</t>
        </is>
      </c>
      <c r="I19" s="108" t="n">
        <v>6</v>
      </c>
      <c r="J19" s="108" t="inlineStr">
        <is>
          <t>未开始</t>
        </is>
      </c>
    </row>
    <row r="20">
      <c r="A20" s="108" t="inlineStr">
        <is>
          <t>2026-11</t>
        </is>
      </c>
      <c r="B20" s="108" t="inlineStr">
        <is>
          <t>第5周</t>
        </is>
      </c>
      <c r="C20" s="108" t="inlineStr">
        <is>
          <t>11/23-11/29｜月度收口/复盘</t>
        </is>
      </c>
      <c r="D20" s="108" t="inlineStr">
        <is>
          <t>高数缓冲：1000A高频错题二刷；补齐章节正确率统计</t>
        </is>
      </c>
      <c r="E20" s="108" t="inlineStr">
        <is>
          <t>考研英语缓冲：补齐单词复习任务；准备牛皮纸真题册</t>
        </is>
      </c>
      <c r="F20" s="108" t="inlineStr">
        <is>
          <t>政治：不安排</t>
        </is>
      </c>
      <c r="G20" s="108" t="inlineStr">
        <is>
          <t>822基础缓冲：补掉课程/雅思冲突产生的欠账</t>
        </is>
      </c>
      <c r="H20" s="108" t="inlineStr">
        <is>
          <t>周验收：高数完成指定讲次+错题≥70道；雅思词汇复习100%；822完成1组结论卡</t>
        </is>
      </c>
      <c r="I20" s="108" t="n">
        <v>6</v>
      </c>
      <c r="J20" s="108" t="inlineStr">
        <is>
          <t>未开始</t>
        </is>
      </c>
    </row>
    <row r="21">
      <c r="A21" s="108" t="inlineStr">
        <is>
          <t>2026-12</t>
        </is>
      </c>
      <c r="B21" s="108" t="inlineStr">
        <is>
          <t>第1周</t>
        </is>
      </c>
      <c r="C21" s="108" t="inlineStr">
        <is>
          <t>11/30-12/6｜推进周</t>
        </is>
      </c>
      <c r="D21" s="108" t="inlineStr">
        <is>
          <t>高数强化启动：二刷30讲第1-8讲；1000A错题回做</t>
        </is>
      </c>
      <c r="E21" s="108" t="inlineStr">
        <is>
          <t>考研英语：单词第1轮；外刊长难句每周3篇</t>
        </is>
      </c>
      <c r="F21" s="108" t="inlineStr">
        <is>
          <t>政治：不安排</t>
        </is>
      </c>
      <c r="G21" s="108" t="inlineStr">
        <is>
          <t>822一轮：教材/讲义第1章；错题直接标注</t>
        </is>
      </c>
      <c r="H21" s="108" t="inlineStr">
        <is>
          <t>周验收：数学讲次/题组完成≥80%；英语单词复习100%；822错题能复述错因</t>
        </is>
      </c>
      <c r="I21" s="108" t="n">
        <v>6</v>
      </c>
      <c r="J21" s="108" t="inlineStr">
        <is>
          <t>未开始</t>
        </is>
      </c>
    </row>
    <row r="22">
      <c r="A22" s="108" t="inlineStr">
        <is>
          <t>2026-12</t>
        </is>
      </c>
      <c r="B22" s="108" t="inlineStr">
        <is>
          <t>第2周</t>
        </is>
      </c>
      <c r="C22" s="108" t="inlineStr">
        <is>
          <t>12/7-12/13｜推进周</t>
        </is>
      </c>
      <c r="D22" s="108" t="inlineStr">
        <is>
          <t>高数强化：二刷30讲第9-16讲；每周一次2小时连续计算</t>
        </is>
      </c>
      <c r="E22" s="108" t="inlineStr">
        <is>
          <t>考研英语：单词复习任务100%；公众号外刊第2组</t>
        </is>
      </c>
      <c r="F22" s="108" t="inlineStr">
        <is>
          <t>政治：不安排</t>
        </is>
      </c>
      <c r="G22" s="108" t="inlineStr">
        <is>
          <t>822一轮：教材/讲义第2章；基础题2组</t>
        </is>
      </c>
      <c r="H22" s="108" t="inlineStr">
        <is>
          <t>周验收：数学讲次/题组完成≥80%；英语单词复习100%；822错题能复述错因</t>
        </is>
      </c>
      <c r="I22" s="108" t="n">
        <v>6</v>
      </c>
      <c r="J22" s="108" t="inlineStr">
        <is>
          <t>未开始</t>
        </is>
      </c>
    </row>
    <row r="23">
      <c r="A23" s="108" t="inlineStr">
        <is>
          <t>2026-12</t>
        </is>
      </c>
      <c r="B23" s="108" t="inlineStr">
        <is>
          <t>第3周</t>
        </is>
      </c>
      <c r="C23" s="108" t="inlineStr">
        <is>
          <t>12/14-12/20｜推进周</t>
        </is>
      </c>
      <c r="D23" s="108" t="inlineStr">
        <is>
          <t>高数强化：二刷30讲第17-24讲；开660基础题型试水</t>
        </is>
      </c>
      <c r="E23" s="108" t="inlineStr">
        <is>
          <t>考研英语：长难句翻译训练；错词提前查</t>
        </is>
      </c>
      <c r="F23" s="108" t="inlineStr">
        <is>
          <t>政治：不安排</t>
        </is>
      </c>
      <c r="G23" s="108" t="inlineStr">
        <is>
          <t>822一轮：教材/讲义第3章；结论卡1组</t>
        </is>
      </c>
      <c r="H23" s="108" t="inlineStr">
        <is>
          <t>周验收：数学讲次/题组完成≥80%；英语单词复习100%；822错题能复述错因</t>
        </is>
      </c>
      <c r="I23" s="108" t="n">
        <v>6</v>
      </c>
      <c r="J23" s="108" t="inlineStr">
        <is>
          <t>未开始</t>
        </is>
      </c>
    </row>
    <row r="24">
      <c r="A24" s="108" t="inlineStr">
        <is>
          <t>2026-12</t>
        </is>
      </c>
      <c r="B24" s="108" t="inlineStr">
        <is>
          <t>第4周</t>
        </is>
      </c>
      <c r="C24" s="108" t="inlineStr">
        <is>
          <t>12/21-12/27｜月度收口/复盘</t>
        </is>
      </c>
      <c r="D24" s="108" t="inlineStr">
        <is>
          <t>高数强化：二刷30讲第25-30讲；A4大法执行：30讲框架默写（一刷正确率≥60%立即启动）</t>
        </is>
      </c>
      <c r="E24" s="108" t="inlineStr">
        <is>
          <t>资料准备：两套牛皮纸真题册；英二精翻资料确认</t>
        </is>
      </c>
      <c r="F24" s="108" t="inlineStr">
        <is>
          <t>政治：不安排</t>
        </is>
      </c>
      <c r="G24" s="108" t="inlineStr">
        <is>
          <t>822一轮：教材/讲义第4章；月末章节测</t>
        </is>
      </c>
      <c r="H24" s="108" t="inlineStr">
        <is>
          <t>周验收：数学讲次/题组完成≥80%；英语单词复习100%；822错题能复述错因</t>
        </is>
      </c>
      <c r="I24" s="108" t="n">
        <v>6</v>
      </c>
      <c r="J24" s="108" t="inlineStr">
        <is>
          <t>未开始</t>
        </is>
      </c>
    </row>
    <row r="25">
      <c r="A25" s="108" t="inlineStr">
        <is>
          <t>2027-01</t>
        </is>
      </c>
      <c r="B25" s="108" t="inlineStr">
        <is>
          <t>第1周</t>
        </is>
      </c>
      <c r="C25" s="108" t="inlineStr">
        <is>
          <t>12/28-1/3｜推进周</t>
        </is>
      </c>
      <c r="D25" s="108" t="inlineStr">
        <is>
          <t>高数强化：30讲二刷第1轮总复盘；1000A错题第1批</t>
        </is>
      </c>
      <c r="E25" s="108" t="inlineStr">
        <is>
          <t>单词第1轮：每天50-100；外刊长难句第1组</t>
        </is>
      </c>
      <c r="F25" s="108" t="inlineStr">
        <is>
          <t>政治：不安排</t>
        </is>
      </c>
      <c r="G25" s="108" t="inlineStr">
        <is>
          <t>822一轮：反馈与传递函数；讲义+错题</t>
        </is>
      </c>
      <c r="H25" s="108" t="inlineStr">
        <is>
          <t>周验收：数学讲次/题组完成≥80%；英语单词复习100%；822错题能复述错因</t>
        </is>
      </c>
      <c r="I25" s="108" t="n">
        <v>6</v>
      </c>
      <c r="J25" s="108" t="inlineStr">
        <is>
          <t>未开始</t>
        </is>
      </c>
    </row>
    <row r="26">
      <c r="A26" s="108" t="inlineStr">
        <is>
          <t>2027-01</t>
        </is>
      </c>
      <c r="B26" s="108" t="inlineStr">
        <is>
          <t>第2周</t>
        </is>
      </c>
      <c r="C26" s="108" t="inlineStr">
        <is>
          <t>1/4-1/10｜推进周</t>
        </is>
      </c>
      <c r="D26" s="108" t="inlineStr">
        <is>
          <t>高数强化：660高数新题第1批；1000A错题第2批</t>
        </is>
      </c>
      <c r="E26" s="108" t="inlineStr">
        <is>
          <t>单词第1轮：复习优先；外刊长难句第2组</t>
        </is>
      </c>
      <c r="F26" s="108" t="inlineStr">
        <is>
          <t>政治：不安排</t>
        </is>
      </c>
      <c r="G26" s="108" t="inlineStr">
        <is>
          <t>822一轮：时域响应；课本例题+讲义题</t>
        </is>
      </c>
      <c r="H26" s="108" t="inlineStr">
        <is>
          <t>周验收：数学讲次/题组完成≥80%；英语单词复习100%；822错题能复述错因</t>
        </is>
      </c>
      <c r="I26" s="108" t="n">
        <v>6</v>
      </c>
      <c r="J26" s="108" t="inlineStr">
        <is>
          <t>未开始</t>
        </is>
      </c>
    </row>
    <row r="27">
      <c r="A27" s="108" t="inlineStr">
        <is>
          <t>2027-01</t>
        </is>
      </c>
      <c r="B27" s="108" t="inlineStr">
        <is>
          <t>第3周</t>
        </is>
      </c>
      <c r="C27" s="108" t="inlineStr">
        <is>
          <t>1/11-1/17｜推进周</t>
        </is>
      </c>
      <c r="D27" s="108" t="inlineStr">
        <is>
          <t>高数强化：660高数新题第2批；核心计算专题限时训练</t>
        </is>
      </c>
      <c r="E27" s="108" t="inlineStr">
        <is>
          <t>单词第2轮启动：不背单词任务清零后再加新词</t>
        </is>
      </c>
      <c r="F27" s="108" t="inlineStr">
        <is>
          <t>政治：不安排</t>
        </is>
      </c>
      <c r="G27" s="108" t="inlineStr">
        <is>
          <t>822一轮：稳定性/稳态误差；错题回讲义</t>
        </is>
      </c>
      <c r="H27" s="108" t="inlineStr">
        <is>
          <t>周验收：数学讲次/题组完成≥80%；英语单词复习100%；822错题能复述错因</t>
        </is>
      </c>
      <c r="I27" s="108" t="n">
        <v>6</v>
      </c>
      <c r="J27" s="108" t="inlineStr">
        <is>
          <t>未开始</t>
        </is>
      </c>
    </row>
    <row r="28">
      <c r="A28" s="108" t="inlineStr">
        <is>
          <t>2027-01</t>
        </is>
      </c>
      <c r="B28" s="108" t="inlineStr">
        <is>
          <t>第4周</t>
        </is>
      </c>
      <c r="C28" s="108" t="inlineStr">
        <is>
          <t>1/18-1/24｜推进周</t>
        </is>
      </c>
      <c r="D28" s="108" t="inlineStr">
        <is>
          <t>高数强化：660高数新题第3批；30讲框架默写</t>
        </is>
      </c>
      <c r="E28" s="108" t="inlineStr">
        <is>
          <t>作文占位：mmg作文素材框架；练字基础笔画</t>
        </is>
      </c>
      <c r="F28" s="108" t="inlineStr">
        <is>
          <t>政治：不安排</t>
        </is>
      </c>
      <c r="G28" s="108" t="inlineStr">
        <is>
          <t>822一轮：频域响应；Bode/Nyquist题型卡</t>
        </is>
      </c>
      <c r="H28" s="108" t="inlineStr">
        <is>
          <t>周验收：数学讲次/题组完成≥80%；英语单词复习100%；822错题能复述错因</t>
        </is>
      </c>
      <c r="I28" s="108" t="n">
        <v>6</v>
      </c>
      <c r="J28" s="108" t="inlineStr">
        <is>
          <t>未开始</t>
        </is>
      </c>
    </row>
    <row r="29">
      <c r="A29" s="108" t="inlineStr">
        <is>
          <t>2027-01</t>
        </is>
      </c>
      <c r="B29" s="108" t="inlineStr">
        <is>
          <t>第5周</t>
        </is>
      </c>
      <c r="C29" s="108" t="inlineStr">
        <is>
          <t>1/25-1/31｜月度收口/复盘</t>
        </is>
      </c>
      <c r="D29" s="108" t="inlineStr">
        <is>
          <t>高数强化缓冲：补春节/课程欠账；形成线代月错题交接清单</t>
        </is>
      </c>
      <c r="E29" s="108" t="inlineStr">
        <is>
          <t>春节/课程缓冲：单词不断；外刊少量维持</t>
        </is>
      </c>
      <c r="F29" s="108" t="inlineStr">
        <is>
          <t>政治：不安排</t>
        </is>
      </c>
      <c r="G29" s="108" t="inlineStr">
        <is>
          <t>822一轮缓冲：补齐章节目录与错题标注</t>
        </is>
      </c>
      <c r="H29" s="108" t="inlineStr">
        <is>
          <t>周验收：数学讲次/题组完成≥80%；英语单词复习100%；822错题能复述错因</t>
        </is>
      </c>
      <c r="I29" s="108" t="n">
        <v>6</v>
      </c>
      <c r="J29" s="108" t="inlineStr">
        <is>
          <t>未开始</t>
        </is>
      </c>
    </row>
    <row r="30">
      <c r="A30" s="108" t="inlineStr">
        <is>
          <t>2027-02</t>
        </is>
      </c>
      <c r="B30" s="108" t="inlineStr">
        <is>
          <t>第1周</t>
        </is>
      </c>
      <c r="C30" s="108" t="inlineStr">
        <is>
          <t>2/1-2/7｜推进周</t>
        </is>
      </c>
      <c r="D30" s="108" t="inlineStr">
        <is>
          <t>线代基础：张宇30讲线代第1-4讲；880基础第1组；高数:线代=5:1</t>
        </is>
      </c>
      <c r="E30" s="108" t="inlineStr">
        <is>
          <t>单词第2轮：每天50-100；外刊翻译第1组</t>
        </is>
      </c>
      <c r="F30" s="108" t="inlineStr">
        <is>
          <t>政治：不安排</t>
        </is>
      </c>
      <c r="G30" s="108" t="inlineStr">
        <is>
          <t>822一轮：根轨迹基础；课本+讲义题</t>
        </is>
      </c>
      <c r="H30" s="108" t="inlineStr">
        <is>
          <t>周验收：数学讲次/题组完成≥80%；英语单词复习100%；822错题能复述错因</t>
        </is>
      </c>
      <c r="I30" s="108" t="n">
        <v>6</v>
      </c>
      <c r="J30" s="108" t="inlineStr">
        <is>
          <t>未开始</t>
        </is>
      </c>
    </row>
    <row r="31">
      <c r="A31" s="108" t="inlineStr">
        <is>
          <t>2027-02</t>
        </is>
      </c>
      <c r="B31" s="108" t="inlineStr">
        <is>
          <t>第2周</t>
        </is>
      </c>
      <c r="C31" s="108" t="inlineStr">
        <is>
          <t>2/8-2/14｜推进周</t>
        </is>
      </c>
      <c r="D31" s="108" t="inlineStr">
        <is>
          <t>线代强化：线代第5-8讲+没咋了网课；880基础第2组；高数错题维持</t>
        </is>
      </c>
      <c r="E31" s="108" t="inlineStr">
        <is>
          <t>单词第2轮：外刊翻译第2组；准备英二精翻清单</t>
        </is>
      </c>
      <c r="F31" s="108" t="inlineStr">
        <is>
          <t>政治：不安排</t>
        </is>
      </c>
      <c r="G31" s="108" t="inlineStr">
        <is>
          <t>822一轮：校正网络；结论卡</t>
        </is>
      </c>
      <c r="H31" s="108" t="inlineStr">
        <is>
          <t>周验收：数学讲次/题组完成≥80%；英语单词复习100%；822错题能复述错因</t>
        </is>
      </c>
      <c r="I31" s="108" t="n">
        <v>6</v>
      </c>
      <c r="J31" s="108" t="inlineStr">
        <is>
          <t>未开始</t>
        </is>
      </c>
    </row>
    <row r="32">
      <c r="A32" s="108" t="inlineStr">
        <is>
          <t>2027-02</t>
        </is>
      </c>
      <c r="B32" s="108" t="inlineStr">
        <is>
          <t>第3周</t>
        </is>
      </c>
      <c r="C32" s="108" t="inlineStr">
        <is>
          <t>2/15-2/21｜推进周</t>
        </is>
      </c>
      <c r="D32" s="108" t="inlineStr">
        <is>
          <t>线代强化：线代第9-12讲；880基础第3组；高数660继续</t>
        </is>
      </c>
      <c r="E32" s="108" t="inlineStr">
        <is>
          <t>长难句：公众号外刊第3组；精翻格式固定</t>
        </is>
      </c>
      <c r="F32" s="108" t="inlineStr">
        <is>
          <t>政治：不安排</t>
        </is>
      </c>
      <c r="G32" s="108" t="inlineStr">
        <is>
          <t>822一轮：状态空间/综合题初步；基础题</t>
        </is>
      </c>
      <c r="H32" s="108" t="inlineStr">
        <is>
          <t>周验收：数学讲次/题组完成≥80%；英语单词复习100%；822错题能复述错因</t>
        </is>
      </c>
      <c r="I32" s="108" t="n">
        <v>6</v>
      </c>
      <c r="J32" s="108" t="inlineStr">
        <is>
          <t>未开始</t>
        </is>
      </c>
    </row>
    <row r="33">
      <c r="A33" s="108" t="inlineStr">
        <is>
          <t>2027-02</t>
        </is>
      </c>
      <c r="B33" s="108" t="inlineStr">
        <is>
          <t>第4周</t>
        </is>
      </c>
      <c r="C33" s="108" t="inlineStr">
        <is>
          <t>2/22-2/28｜月度收口/复盘</t>
        </is>
      </c>
      <c r="D33" s="108" t="inlineStr">
        <is>
          <t>线代收口：线代第13-16讲；880基础总复盘；进入880综合预备</t>
        </is>
      </c>
      <c r="E33" s="108" t="inlineStr">
        <is>
          <t>精翻预备：整理2010-2027英二72篇编号表</t>
        </is>
      </c>
      <c r="F33" s="108" t="inlineStr">
        <is>
          <t>政治：不安排</t>
        </is>
      </c>
      <c r="G33" s="108" t="inlineStr">
        <is>
          <t>822一轮：2月总复盘；为4月中一轮完成做缺口表</t>
        </is>
      </c>
      <c r="H33" s="108" t="inlineStr">
        <is>
          <t>周验收：数学讲次/题组完成≥80%；英语单词复习100%；822错题能复述错因</t>
        </is>
      </c>
      <c r="I33" s="108" t="n">
        <v>6</v>
      </c>
      <c r="J33" s="108" t="inlineStr">
        <is>
          <t>未开始</t>
        </is>
      </c>
    </row>
    <row r="34">
      <c r="A34" s="108" t="inlineStr">
        <is>
          <t>2027-03</t>
        </is>
      </c>
      <c r="B34" s="108" t="inlineStr">
        <is>
          <t>第1周</t>
        </is>
      </c>
      <c r="C34" s="108" t="inlineStr">
        <is>
          <t>3/1-3/7｜推进周</t>
        </is>
      </c>
      <c r="D34" s="108" t="inlineStr">
        <is>
          <t>高数强化收口：二刷30讲框架；1000A错题第1轮；A4大法二刷应用（启动条件9月已判：一刷≥60%即启动）</t>
        </is>
      </c>
      <c r="E34" s="108" t="inlineStr">
        <is>
          <t>单词第2/3轮交接；外刊长难句第4组</t>
        </is>
      </c>
      <c r="F34" s="108" t="inlineStr">
        <is>
          <t>政治：不安排</t>
        </is>
      </c>
      <c r="G34" s="108" t="inlineStr">
        <is>
          <t>822一轮冲刺：方块图/传递函数/时域错题</t>
        </is>
      </c>
      <c r="H34" s="108" t="inlineStr">
        <is>
          <t>周验收：数学讲次/题组完成≥80%；英语单词复习100%；822错题能复述错因</t>
        </is>
      </c>
      <c r="I34" s="108" t="n">
        <v>6</v>
      </c>
      <c r="J34" s="108" t="inlineStr">
        <is>
          <t>未开始</t>
        </is>
      </c>
    </row>
    <row r="35">
      <c r="A35" s="108" t="inlineStr">
        <is>
          <t>2027-03</t>
        </is>
      </c>
      <c r="B35" s="108" t="inlineStr">
        <is>
          <t>第2周</t>
        </is>
      </c>
      <c r="C35" s="108" t="inlineStr">
        <is>
          <t>3/8-3/14｜推进周</t>
        </is>
      </c>
      <c r="D35" s="108" t="inlineStr">
        <is>
          <t>高数强化收口：660高数题第4批；1000A错题第2轮</t>
        </is>
      </c>
      <c r="E35" s="108" t="inlineStr">
        <is>
          <t>英二精翻预热：逐字逐句/扇贝工具流程演练</t>
        </is>
      </c>
      <c r="F35" s="108" t="inlineStr">
        <is>
          <t>政治：不安排</t>
        </is>
      </c>
      <c r="G35" s="108" t="inlineStr">
        <is>
          <t>822一轮冲刺：稳定性/频域错题；3月可购买芝麻研行</t>
        </is>
      </c>
      <c r="H35" s="108" t="inlineStr">
        <is>
          <t>周验收：数学讲次/题组完成≥80%；英语单词复习100%；822错题能复述错因</t>
        </is>
      </c>
      <c r="I35" s="108" t="n">
        <v>6</v>
      </c>
      <c r="J35" s="108" t="inlineStr">
        <is>
          <t>未开始</t>
        </is>
      </c>
    </row>
    <row r="36">
      <c r="A36" s="108" t="inlineStr">
        <is>
          <t>2027-03</t>
        </is>
      </c>
      <c r="B36" s="108" t="inlineStr">
        <is>
          <t>第3周</t>
        </is>
      </c>
      <c r="C36" s="108" t="inlineStr">
        <is>
          <t>3/15-3/21｜推进周</t>
        </is>
      </c>
      <c r="D36" s="108" t="inlineStr">
        <is>
          <t>线代综合：没咋了强化讲义第1遍；880综合第1组；高数弱章回补</t>
        </is>
      </c>
      <c r="E36" s="108" t="inlineStr">
        <is>
          <t>作文占位：图画类第一段素材；衡水体单词练习</t>
        </is>
      </c>
      <c r="F36" s="108" t="inlineStr">
        <is>
          <t>政治：不安排</t>
        </is>
      </c>
      <c r="G36" s="108" t="inlineStr">
        <is>
          <t>822一轮冲刺：校正/状态空间；讲义题收口</t>
        </is>
      </c>
      <c r="H36" s="108" t="inlineStr">
        <is>
          <t>周验收：数学讲次/题组完成≥80%；英语单词复习100%；822错题能复述错因</t>
        </is>
      </c>
      <c r="I36" s="108" t="n">
        <v>6</v>
      </c>
      <c r="J36" s="108" t="inlineStr">
        <is>
          <t>未开始</t>
        </is>
      </c>
    </row>
    <row r="37">
      <c r="A37" s="108" t="inlineStr">
        <is>
          <t>2027-03</t>
        </is>
      </c>
      <c r="B37" s="108" t="inlineStr">
        <is>
          <t>第4周</t>
        </is>
      </c>
      <c r="C37" s="108" t="inlineStr">
        <is>
          <t>3/22-3/28｜月度收口/复盘</t>
        </is>
      </c>
      <c r="D37" s="108" t="inlineStr">
        <is>
          <t>月末验收：2027年3月前完成高数强化；列出36讲/1000B二强顺序</t>
        </is>
      </c>
      <c r="E37" s="108" t="inlineStr">
        <is>
          <t>3月验收：词汇三轮进度；4月英二精翻启动清单</t>
        </is>
      </c>
      <c r="F37" s="108" t="inlineStr">
        <is>
          <t>政治：不安排</t>
        </is>
      </c>
      <c r="G37" s="108" t="inlineStr">
        <is>
          <t>822一轮验收：4月中前完成基础课+讲义+错题一轮</t>
        </is>
      </c>
      <c r="H37" s="108" t="inlineStr">
        <is>
          <t>周验收：数学讲次/题组完成≥80%；英语单词复习100%；822错题能复述错因</t>
        </is>
      </c>
      <c r="I37" s="108" t="n">
        <v>6</v>
      </c>
      <c r="J37" s="108" t="inlineStr">
        <is>
          <t>未开始</t>
        </is>
      </c>
    </row>
    <row r="38">
      <c r="A38" s="108" t="inlineStr">
        <is>
          <t>2027-04</t>
        </is>
      </c>
      <c r="B38" s="108" t="inlineStr">
        <is>
          <t>第1周</t>
        </is>
      </c>
      <c r="C38" s="108" t="inlineStr">
        <is>
          <t>3/29-4/4｜推进周</t>
        </is>
      </c>
      <c r="D38" s="108" t="inlineStr">
        <is>
          <t>高数二次强化：张宇强化36讲第1-9讲；1000B对应题；线代讲义二刷</t>
        </is>
      </c>
      <c r="E38" s="108" t="inlineStr">
        <is>
          <t>英二精翻：2010-2013阅读共16篇；每篇译文+错词表</t>
        </is>
      </c>
      <c r="F38" s="108" t="inlineStr">
        <is>
          <t>政治：不安排</t>
        </is>
      </c>
      <c r="G38" s="108" t="inlineStr">
        <is>
          <t>822一轮收尾：基础课缺口清零；错题二刷第1批</t>
        </is>
      </c>
      <c r="H38" s="108" t="inlineStr">
        <is>
          <t>周验收：数学题册/讲义完成≥80%；英二精翻有译文和错词；822二轮/补本完成</t>
        </is>
      </c>
      <c r="I38" s="108" t="n">
        <v>6</v>
      </c>
      <c r="J38" s="108" t="inlineStr">
        <is>
          <t>未开始</t>
        </is>
      </c>
    </row>
    <row r="39">
      <c r="A39" s="108" t="inlineStr">
        <is>
          <t>2027-04</t>
        </is>
      </c>
      <c r="B39" s="108" t="inlineStr">
        <is>
          <t>第2周</t>
        </is>
      </c>
      <c r="C39" s="108" t="inlineStr">
        <is>
          <t>4/5-4/11｜推进周</t>
        </is>
      </c>
      <c r="D39" s="108" t="inlineStr">
        <is>
          <t>高数二次强化：36讲第10-18讲；1000B对应题；880线代综合第2组</t>
        </is>
      </c>
      <c r="E39" s="108" t="inlineStr">
        <is>
          <t>英二精翻：2014-2017阅读共16篇；长难句拆解</t>
        </is>
      </c>
      <c r="F39" s="108" t="inlineStr">
        <is>
          <t>政治：不安排</t>
        </is>
      </c>
      <c r="G39" s="108" t="inlineStr">
        <is>
          <t>822二轮启动：讲义第1-2章；结论卡复述</t>
        </is>
      </c>
      <c r="H39" s="108" t="inlineStr">
        <is>
          <t>周验收：数学题册/讲义完成≥80%；英二精翻有译文和错词；822二轮/补本完成</t>
        </is>
      </c>
      <c r="I39" s="108" t="n">
        <v>6</v>
      </c>
      <c r="J39" s="108" t="inlineStr">
        <is>
          <t>未开始</t>
        </is>
      </c>
    </row>
    <row r="40">
      <c r="A40" s="108" t="inlineStr">
        <is>
          <t>2027-04</t>
        </is>
      </c>
      <c r="B40" s="108" t="inlineStr">
        <is>
          <t>第3周</t>
        </is>
      </c>
      <c r="C40" s="108" t="inlineStr">
        <is>
          <t>4/12-4/18｜推进周</t>
        </is>
      </c>
      <c r="D40" s="108" t="inlineStr">
        <is>
          <t>高数二次强化：36讲第19-27讲；大雪深埋查漏；A4默写二级结论</t>
        </is>
      </c>
      <c r="E40" s="108" t="inlineStr">
        <is>
          <t>英二精翻：2018-2021阅读共16篇；错因分类</t>
        </is>
      </c>
      <c r="F40" s="108" t="inlineStr">
        <is>
          <t>政治：不安排</t>
        </is>
      </c>
      <c r="G40" s="108" t="inlineStr">
        <is>
          <t>822二轮：讲义第3-4章；错题回做</t>
        </is>
      </c>
      <c r="H40" s="108" t="inlineStr">
        <is>
          <t>周验收：数学题册/讲义完成≥80%；英二精翻有译文和错词；822二轮/补本完成</t>
        </is>
      </c>
      <c r="I40" s="108" t="n">
        <v>6</v>
      </c>
      <c r="J40" s="108" t="inlineStr">
        <is>
          <t>未开始</t>
        </is>
      </c>
    </row>
    <row r="41">
      <c r="A41" s="108" t="inlineStr">
        <is>
          <t>2027-04</t>
        </is>
      </c>
      <c r="B41" s="108" t="inlineStr">
        <is>
          <t>第4周</t>
        </is>
      </c>
      <c r="C41" s="108" t="inlineStr">
        <is>
          <t>4/19-4/25｜月度收口/复盘</t>
        </is>
      </c>
      <c r="D41" s="108" t="inlineStr">
        <is>
          <t>高数二次强化：36讲第28-36讲；1000B阶段测；1000B完后开高数880</t>
        </is>
      </c>
      <c r="E41" s="108" t="inlineStr">
        <is>
          <t>英二精翻：2022-2025阅读共16篇；周末复盘4篇</t>
        </is>
      </c>
      <c r="F41" s="108" t="inlineStr">
        <is>
          <t>政治：不安排</t>
        </is>
      </c>
      <c r="G41" s="108" t="inlineStr">
        <is>
          <t>822二轮：讲义第5章及综合题；阶段测</t>
        </is>
      </c>
      <c r="H41" s="108" t="inlineStr">
        <is>
          <t>周验收：数学题册/讲义完成≥80%；英二精翻有译文和错词；822二轮/补本完成</t>
        </is>
      </c>
      <c r="I41" s="108" t="n">
        <v>6</v>
      </c>
      <c r="J41" s="108" t="inlineStr">
        <is>
          <t>未开始</t>
        </is>
      </c>
    </row>
    <row r="42">
      <c r="A42" s="108" t="inlineStr">
        <is>
          <t>2027-05</t>
        </is>
      </c>
      <c r="B42" s="108" t="inlineStr">
        <is>
          <t>第1周</t>
        </is>
      </c>
      <c r="C42" s="108" t="inlineStr">
        <is>
          <t>4/26-5/2｜推进周</t>
        </is>
      </c>
      <c r="D42" s="108" t="inlineStr">
        <is>
          <t>高数880启动：880高数第1批；1000B错题回做；线代880综合第3组</t>
        </is>
      </c>
      <c r="E42" s="108" t="inlineStr">
        <is>
          <t>英二精翻：2026-2027及缺口补齐；累计72篇进度核对</t>
        </is>
      </c>
      <c r="F42" s="108" t="inlineStr">
        <is>
          <t>政治：不安排</t>
        </is>
      </c>
      <c r="G42" s="108" t="inlineStr">
        <is>
          <t>822二轮：讲义+错题第1轮总复盘；每周1次长训练</t>
        </is>
      </c>
      <c r="H42" s="108" t="inlineStr">
        <is>
          <t>周验收：数学题册/讲义完成≥80%；英二精翻有译文和错词；822二轮/补本完成</t>
        </is>
      </c>
      <c r="I42" s="108" t="n">
        <v>6</v>
      </c>
      <c r="J42" s="108" t="inlineStr">
        <is>
          <t>未开始</t>
        </is>
      </c>
    </row>
    <row r="43">
      <c r="A43" s="108" t="inlineStr">
        <is>
          <t>2027-05</t>
        </is>
      </c>
      <c r="B43" s="108" t="inlineStr">
        <is>
          <t>第2周</t>
        </is>
      </c>
      <c r="C43" s="108" t="inlineStr">
        <is>
          <t>5/3-5/9｜推进周</t>
        </is>
      </c>
      <c r="D43" s="108" t="inlineStr">
        <is>
          <t>高数880：880高数第2批；A4易错点2.0；线代1000AB/李艳芳900择一试水</t>
        </is>
      </c>
      <c r="E43" s="108" t="inlineStr">
        <is>
          <t>英二精翻二轮：2010-2014错译回改；单词复习100%</t>
        </is>
      </c>
      <c r="F43" s="108" t="inlineStr">
        <is>
          <t>政治：不安排</t>
        </is>
      </c>
      <c r="G43" s="108" t="inlineStr">
        <is>
          <t>822二轮：课本题补第1批；整理高频公式</t>
        </is>
      </c>
      <c r="H43" s="108" t="inlineStr">
        <is>
          <t>周验收：数学题册/讲义完成≥80%；英二精翻有译文和错词；822二轮/补本完成</t>
        </is>
      </c>
      <c r="I43" s="108" t="n">
        <v>6</v>
      </c>
      <c r="J43" s="108" t="inlineStr">
        <is>
          <t>未开始</t>
        </is>
      </c>
    </row>
    <row r="44">
      <c r="A44" s="108" t="inlineStr">
        <is>
          <t>2027-05</t>
        </is>
      </c>
      <c r="B44" s="108" t="inlineStr">
        <is>
          <t>第3周</t>
        </is>
      </c>
      <c r="C44" s="108" t="inlineStr">
        <is>
          <t>5/10-5/16｜推进周</t>
        </is>
      </c>
      <c r="D44" s="108" t="inlineStr">
        <is>
          <t>高数880：880高数第3批；36讲框架总默写；线代错题二刷</t>
        </is>
      </c>
      <c r="E44" s="108" t="inlineStr">
        <is>
          <t>英二精翻二轮：2015-2019错译回改；长难句专题</t>
        </is>
      </c>
      <c r="F44" s="108" t="inlineStr">
        <is>
          <t>政治：不安排</t>
        </is>
      </c>
      <c r="G44" s="108" t="inlineStr">
        <is>
          <t>822二轮：课本题补第2批；错题回教材</t>
        </is>
      </c>
      <c r="H44" s="108" t="inlineStr">
        <is>
          <t>周验收：数学题册/讲义完成≥80%；英二精翻有译文和错词；822二轮/补本完成</t>
        </is>
      </c>
      <c r="I44" s="108" t="n">
        <v>6</v>
      </c>
      <c r="J44" s="108" t="inlineStr">
        <is>
          <t>未开始</t>
        </is>
      </c>
    </row>
    <row r="45">
      <c r="A45" s="108" t="inlineStr">
        <is>
          <t>2027-05</t>
        </is>
      </c>
      <c r="B45" s="108" t="inlineStr">
        <is>
          <t>第4周</t>
        </is>
      </c>
      <c r="C45" s="108" t="inlineStr">
        <is>
          <t>5/17-5/23｜推进周</t>
        </is>
      </c>
      <c r="D45" s="108" t="inlineStr">
        <is>
          <t>高数880：880高数第4批；三科混合小测；保留概率学习入口</t>
        </is>
      </c>
      <c r="E45" s="108" t="inlineStr">
        <is>
          <t>英二精翻二轮：2020-2027错译回改；形成常错句式表</t>
        </is>
      </c>
      <c r="F45" s="108" t="inlineStr">
        <is>
          <t>政治：不安排</t>
        </is>
      </c>
      <c r="G45" s="108" t="inlineStr">
        <is>
          <t>822二轮：课本题补第3批；形成专题目录</t>
        </is>
      </c>
      <c r="H45" s="108" t="inlineStr">
        <is>
          <t>周验收：数学题册/讲义完成≥80%；英二精翻有译文和错词；822二轮/补本完成</t>
        </is>
      </c>
      <c r="I45" s="108" t="n">
        <v>6</v>
      </c>
      <c r="J45" s="108" t="inlineStr">
        <is>
          <t>未开始</t>
        </is>
      </c>
    </row>
    <row r="46">
      <c r="A46" s="108" t="inlineStr">
        <is>
          <t>2027-05</t>
        </is>
      </c>
      <c r="B46" s="108" t="inlineStr">
        <is>
          <t>第5周</t>
        </is>
      </c>
      <c r="C46" s="108" t="inlineStr">
        <is>
          <t>5/24-5/30｜月度收口/复盘</t>
        </is>
      </c>
      <c r="D46" s="108" t="inlineStr">
        <is>
          <t>月末验收：二次强化完成率核对；生成概率9讲学习清单</t>
        </is>
      </c>
      <c r="E46" s="108" t="inlineStr">
        <is>
          <t>月末验收：72篇精翻完成；6月中转英一阅读</t>
        </is>
      </c>
      <c r="F46" s="108" t="inlineStr">
        <is>
          <t>政治：不安排</t>
        </is>
      </c>
      <c r="G46" s="108" t="inlineStr">
        <is>
          <t>822二轮验收：6月前结束二轮基础</t>
        </is>
      </c>
      <c r="H46" s="108" t="inlineStr">
        <is>
          <t>周验收：数学题册/讲义完成≥80%；英二精翻有译文和错词；822二轮/补本完成</t>
        </is>
      </c>
      <c r="I46" s="108" t="n">
        <v>6</v>
      </c>
      <c r="J46" s="108" t="inlineStr">
        <is>
          <t>未开始</t>
        </is>
      </c>
    </row>
    <row r="47">
      <c r="A47" s="108" t="inlineStr">
        <is>
          <t>2027-06</t>
        </is>
      </c>
      <c r="B47" s="108" t="inlineStr">
        <is>
          <t>第1周</t>
        </is>
      </c>
      <c r="C47" s="108" t="inlineStr">
        <is>
          <t>5/31-6/6｜推进周</t>
        </is>
      </c>
      <c r="D47" s="108" t="inlineStr">
        <is>
          <t>概率基础：张宇9讲第1-3讲；880概率基础第1组；高数/线代错题维持</t>
        </is>
      </c>
      <c r="E47" s="108" t="inlineStr">
        <is>
          <t>英二精翻收尾：漏篇补齐；每篇错词/句法归档</t>
        </is>
      </c>
      <c r="F47" s="108" t="inlineStr">
        <is>
          <t>政治：不安排</t>
        </is>
      </c>
      <c r="G47" s="108" t="inlineStr">
        <is>
          <t>822过渡：补本习题册第1批；按08题型矩阵归类</t>
        </is>
      </c>
      <c r="H47" s="108" t="inlineStr">
        <is>
          <t>周验收：数学题册/讲义完成≥80%；英二精翻有译文和错词；822二轮/补本完成</t>
        </is>
      </c>
      <c r="I47" s="108" t="n">
        <v>6</v>
      </c>
      <c r="J47" s="108" t="inlineStr">
        <is>
          <t>未开始</t>
        </is>
      </c>
    </row>
    <row r="48">
      <c r="A48" s="108" t="inlineStr">
        <is>
          <t>2027-06</t>
        </is>
      </c>
      <c r="B48" s="108" t="inlineStr">
        <is>
          <t>第2周</t>
        </is>
      </c>
      <c r="C48" s="108" t="inlineStr">
        <is>
          <t>6/7-6/13｜推进周</t>
        </is>
      </c>
      <c r="D48" s="108" t="inlineStr">
        <is>
          <t>概率强化：张宇9讲第4-6讲；880概率基础第2组；三科混合训练</t>
        </is>
      </c>
      <c r="E48" s="108" t="inlineStr">
        <is>
          <t>英二精翻验收：72篇总复盘；阅读方法复盘</t>
        </is>
      </c>
      <c r="F48" s="108" t="inlineStr">
        <is>
          <t>政治：不安排</t>
        </is>
      </c>
      <c r="G48" s="108" t="inlineStr">
        <is>
          <t>822过渡：补本习题册第2批；错题专题回讲义</t>
        </is>
      </c>
      <c r="H48" s="108" t="inlineStr">
        <is>
          <t>周验收：数学题册/讲义完成≥80%；英二精翻有译文和错词；822二轮/补本完成</t>
        </is>
      </c>
      <c r="I48" s="108" t="n">
        <v>6</v>
      </c>
      <c r="J48" s="108" t="inlineStr">
        <is>
          <t>未开始</t>
        </is>
      </c>
    </row>
    <row r="49">
      <c r="A49" s="108" t="inlineStr">
        <is>
          <t>2027-06</t>
        </is>
      </c>
      <c r="B49" s="108" t="inlineStr">
        <is>
          <t>第3周</t>
        </is>
      </c>
      <c r="C49" s="108" t="inlineStr">
        <is>
          <t>6/14-6/20｜推进周</t>
        </is>
      </c>
      <c r="D49" s="108" t="inlineStr">
        <is>
          <t>概率强化：张宇9讲第7-9讲；880概率基础第3组；公式框架默写</t>
        </is>
      </c>
      <c r="E49" s="108" t="inlineStr">
        <is>
          <t>英一阅读启动：2010-2012阅读；保留2020/21/22最后模拟</t>
        </is>
      </c>
      <c r="F49" s="108" t="inlineStr">
        <is>
          <t>政治：不安排</t>
        </is>
      </c>
      <c r="G49" s="108" t="inlineStr">
        <is>
          <t>822过渡：补本习题册第3批；建立240习题入口</t>
        </is>
      </c>
      <c r="H49" s="108" t="inlineStr">
        <is>
          <t>周验收：数学题册/讲义完成≥80%；英二精翻有译文和错词；822二轮/补本完成</t>
        </is>
      </c>
      <c r="I49" s="108" t="n">
        <v>6</v>
      </c>
      <c r="J49" s="108" t="inlineStr">
        <is>
          <t>未开始</t>
        </is>
      </c>
    </row>
    <row r="50">
      <c r="A50" s="108" t="inlineStr">
        <is>
          <t>2027-06</t>
        </is>
      </c>
      <c r="B50" s="108" t="inlineStr">
        <is>
          <t>第4周</t>
        </is>
      </c>
      <c r="C50" s="108" t="inlineStr">
        <is>
          <t>6/21-6/27｜月度收口/复盘</t>
        </is>
      </c>
      <c r="D50" s="108" t="inlineStr">
        <is>
          <t>概率收口：概率9讲+880基础复盘；整理真题阶段错题分类模板</t>
        </is>
      </c>
      <c r="E50" s="108" t="inlineStr">
        <is>
          <t>英一阅读：2013-2015阅读；每周3篇，错因写到题旁</t>
        </is>
      </c>
      <c r="F50" s="108" t="inlineStr">
        <is>
          <t>政治：不安排</t>
        </is>
      </c>
      <c r="G50" s="108" t="inlineStr">
        <is>
          <t>822过渡验收：7月芝麻研行专题强化准备</t>
        </is>
      </c>
      <c r="H50" s="108" t="inlineStr">
        <is>
          <t>周验收：数学题册/讲义完成≥80%；英二精翻有译文和错词；822二轮/补本完成</t>
        </is>
      </c>
      <c r="I50" s="108" t="n">
        <v>6</v>
      </c>
      <c r="J50" s="108" t="inlineStr">
        <is>
          <t>未开始</t>
        </is>
      </c>
    </row>
    <row r="51">
      <c r="A51" s="108" t="inlineStr">
        <is>
          <t>2027-07</t>
        </is>
      </c>
      <c r="B51" s="108" t="inlineStr">
        <is>
          <t>第1周</t>
        </is>
      </c>
      <c r="C51" s="108" t="inlineStr">
        <is>
          <t>6/28-7/4｜推进周</t>
        </is>
      </c>
      <c r="D51" s="108" t="inlineStr">
        <is>
          <t>数学综合：高数/线代/概率混合题第1批；880剩余题清单</t>
        </is>
      </c>
      <c r="E51" s="108" t="inlineStr">
        <is>
          <t>英一阅读：2016-2018阅读；每周3篇；长难句翻译</t>
        </is>
      </c>
      <c r="F51" s="108" t="inlineStr">
        <is>
          <t>政治：不安排</t>
        </is>
      </c>
      <c r="G51" s="108" t="inlineStr">
        <is>
          <t>822专题强化：芝麻研行专题1-2；课本第1遍第1批</t>
        </is>
      </c>
      <c r="H51" s="108" t="inlineStr">
        <is>
          <t>周验收：数学综合题+英语阅读+822专题均达80%；周日只补欠账</t>
        </is>
      </c>
      <c r="I51" s="108" t="n">
        <v>8</v>
      </c>
      <c r="J51" s="108" t="inlineStr">
        <is>
          <t>未开始</t>
        </is>
      </c>
    </row>
    <row r="52">
      <c r="A52" s="108" t="inlineStr">
        <is>
          <t>2027-07</t>
        </is>
      </c>
      <c r="B52" s="108" t="inlineStr">
        <is>
          <t>第2周</t>
        </is>
      </c>
      <c r="C52" s="108" t="inlineStr">
        <is>
          <t>7/5-7/11｜推进周</t>
        </is>
      </c>
      <c r="D52" s="108" t="inlineStr">
        <is>
          <t>数学综合：混合题第2批；真题计时规范训练；草稿纸分区训练</t>
        </is>
      </c>
      <c r="E52" s="108" t="inlineStr">
        <is>
          <t>英一阅读：2019/2023/2024阅读；保留2020/21/22</t>
        </is>
      </c>
      <c r="F52" s="108" t="inlineStr">
        <is>
          <t>政治：不安排</t>
        </is>
      </c>
      <c r="G52" s="108" t="inlineStr">
        <is>
          <t>822专题强化：专题3-4；240习题册第1遍第1批</t>
        </is>
      </c>
      <c r="H52" s="108" t="inlineStr">
        <is>
          <t>周验收：数学综合题+英语阅读+822专题均达80%；周日只补欠账</t>
        </is>
      </c>
      <c r="I52" s="108" t="n">
        <v>8</v>
      </c>
      <c r="J52" s="108" t="inlineStr">
        <is>
          <t>未开始</t>
        </is>
      </c>
    </row>
    <row r="53">
      <c r="A53" s="108" t="inlineStr">
        <is>
          <t>2027-07</t>
        </is>
      </c>
      <c r="B53" s="108" t="inlineStr">
        <is>
          <t>第3周</t>
        </is>
      </c>
      <c r="C53" s="108" t="inlineStr">
        <is>
          <t>7/12-7/18｜推进周</t>
        </is>
      </c>
      <c r="D53" s="108" t="inlineStr">
        <is>
          <t>数学综合：混合题第3批；20-26真题均分135阈值表准备</t>
        </is>
      </c>
      <c r="E53" s="108" t="inlineStr">
        <is>
          <t>三小门预备：刘琦新题型方法论约2h；完形题型初看</t>
        </is>
      </c>
      <c r="F53" s="108" t="inlineStr">
        <is>
          <t>政治：不安排</t>
        </is>
      </c>
      <c r="G53" s="108" t="inlineStr">
        <is>
          <t>822专题强化：专题5-6；240习题册第1遍第2批</t>
        </is>
      </c>
      <c r="H53" s="108" t="inlineStr">
        <is>
          <t>周验收：数学综合题+英语阅读+822专题均达80%；周日只补欠账</t>
        </is>
      </c>
      <c r="I53" s="108" t="n">
        <v>8</v>
      </c>
      <c r="J53" s="108" t="inlineStr">
        <is>
          <t>未开始</t>
        </is>
      </c>
    </row>
    <row r="54">
      <c r="A54" s="108" t="inlineStr">
        <is>
          <t>2027-07</t>
        </is>
      </c>
      <c r="B54" s="108" t="inlineStr">
        <is>
          <t>第4周</t>
        </is>
      </c>
      <c r="C54" s="108" t="inlineStr">
        <is>
          <t>7/19-7/25｜月度收口/复盘</t>
        </is>
      </c>
      <c r="D54" s="108" t="inlineStr">
        <is>
          <t>真题预备：07年真题前置专题；只补影响套卷的弱项</t>
        </is>
      </c>
      <c r="E54" s="108" t="inlineStr">
        <is>
          <t>阅读月测：阅读正确率统计；8月作文背默入口</t>
        </is>
      </c>
      <c r="F54" s="108" t="inlineStr">
        <is>
          <t>政治：不安排</t>
        </is>
      </c>
      <c r="G54" s="108" t="inlineStr">
        <is>
          <t>822专题验收：补本+课本第1遍；错题回矩阵</t>
        </is>
      </c>
      <c r="H54" s="108" t="inlineStr">
        <is>
          <t>周验收：数学综合题+英语阅读+822专题均达80%；周日只补欠账</t>
        </is>
      </c>
      <c r="I54" s="108" t="n">
        <v>8</v>
      </c>
      <c r="J54" s="108" t="inlineStr">
        <is>
          <t>未开始</t>
        </is>
      </c>
    </row>
    <row r="55">
      <c r="A55" s="108" t="inlineStr">
        <is>
          <t>2027-08</t>
        </is>
      </c>
      <c r="B55" s="108" t="inlineStr">
        <is>
          <t>第1周</t>
        </is>
      </c>
      <c r="C55" s="108" t="inlineStr">
        <is>
          <t>7/26-8/1｜推进周</t>
        </is>
      </c>
      <c r="D55" s="108" t="inlineStr">
        <is>
          <t>真题预热：2007-2008真题拆题型；复盘解析来源固定</t>
        </is>
      </c>
      <c r="E55" s="108" t="inlineStr">
        <is>
          <t>英一阅读：剩余非保留年份阅读；秘密哥作文模板开始背默</t>
        </is>
      </c>
      <c r="F55" s="108" t="inlineStr">
        <is>
          <t>政治：不安排</t>
        </is>
      </c>
      <c r="G55" s="108" t="inlineStr">
        <is>
          <t>822强化：课本第2遍第1批；240第2遍第1批</t>
        </is>
      </c>
      <c r="H55" s="108" t="inlineStr">
        <is>
          <t>周验收：数学综合题+英语阅读+822专题均达80%；周日只补欠账</t>
        </is>
      </c>
      <c r="I55" s="108" t="n">
        <v>8</v>
      </c>
      <c r="J55" s="108" t="inlineStr">
        <is>
          <t>未开始</t>
        </is>
      </c>
    </row>
    <row r="56">
      <c r="A56" s="108" t="inlineStr">
        <is>
          <t>2027-08</t>
        </is>
      </c>
      <c r="B56" s="108" t="inlineStr">
        <is>
          <t>第2周</t>
        </is>
      </c>
      <c r="C56" s="108" t="inlineStr">
        <is>
          <t>8/2-8/8｜推进周</t>
        </is>
      </c>
      <c r="D56" s="108" t="inlineStr">
        <is>
          <t>真题预热：2009-2010真题拆题型；回归30讲/880弱章</t>
        </is>
      </c>
      <c r="E56" s="108" t="inlineStr">
        <is>
          <t>作文：图画类第一段背默；练字句子排版；扇贝作文试改</t>
        </is>
      </c>
      <c r="F56" s="108" t="inlineStr">
        <is>
          <t>政治：不安排</t>
        </is>
      </c>
      <c r="G56" s="108" t="inlineStr">
        <is>
          <t>822强化：课本第2遍第2批；240第2遍第2批</t>
        </is>
      </c>
      <c r="H56" s="108" t="inlineStr">
        <is>
          <t>周验收：数学综合题+英语阅读+822专题均达80%；周日只补欠账</t>
        </is>
      </c>
      <c r="I56" s="108" t="n">
        <v>8</v>
      </c>
      <c r="J56" s="108" t="inlineStr">
        <is>
          <t>未开始</t>
        </is>
      </c>
    </row>
    <row r="57">
      <c r="A57" s="108" t="inlineStr">
        <is>
          <t>2027-08</t>
        </is>
      </c>
      <c r="B57" s="108" t="inlineStr">
        <is>
          <t>第3周</t>
        </is>
      </c>
      <c r="C57" s="108" t="inlineStr">
        <is>
          <t>8/9-8/15｜推进周</t>
        </is>
      </c>
      <c r="D57" s="108" t="inlineStr">
        <is>
          <t>真题预热：2011-2012真题拆题型；整理常错计算模型</t>
        </is>
      </c>
      <c r="E57" s="108" t="inlineStr">
        <is>
          <t>作文：静态/动态类；品质类第二段；每周1篇限时</t>
        </is>
      </c>
      <c r="F57" s="108" t="inlineStr">
        <is>
          <t>政治：不安排</t>
        </is>
      </c>
      <c r="G57" s="108" t="inlineStr">
        <is>
          <t>822强化：真题开做前扫描一份；题型矩阵补源</t>
        </is>
      </c>
      <c r="H57" s="108" t="inlineStr">
        <is>
          <t>周验收：数学综合题+英语阅读+822专题均达80%；周日只补欠账</t>
        </is>
      </c>
      <c r="I57" s="108" t="n">
        <v>8</v>
      </c>
      <c r="J57" s="108" t="inlineStr">
        <is>
          <t>未开始</t>
        </is>
      </c>
    </row>
    <row r="58">
      <c r="A58" s="108" t="inlineStr">
        <is>
          <t>2027-08</t>
        </is>
      </c>
      <c r="B58" s="108" t="inlineStr">
        <is>
          <t>第4周</t>
        </is>
      </c>
      <c r="C58" s="108" t="inlineStr">
        <is>
          <t>8/16-8/22｜推进周</t>
        </is>
      </c>
      <c r="D58" s="108" t="inlineStr">
        <is>
          <t>真题预热：2013-2014真题拆题型；开始套卷节奏记录</t>
        </is>
      </c>
      <c r="E58" s="108" t="inlineStr">
        <is>
          <t>作文：经济类第二段；正面第三段；阅读错因归并</t>
        </is>
      </c>
      <c r="F58" s="108" t="inlineStr">
        <is>
          <t>政治：不安排</t>
        </is>
      </c>
      <c r="G58" s="108" t="inlineStr">
        <is>
          <t>822强化：综合题限时；错题按模块归档</t>
        </is>
      </c>
      <c r="H58" s="108" t="inlineStr">
        <is>
          <t>周验收：数学综合题+英语阅读+822专题均达80%；周日只补欠账</t>
        </is>
      </c>
      <c r="I58" s="108" t="n">
        <v>8</v>
      </c>
      <c r="J58" s="108" t="inlineStr">
        <is>
          <t>未开始</t>
        </is>
      </c>
    </row>
    <row r="59">
      <c r="A59" s="108" t="inlineStr">
        <is>
          <t>2027-08</t>
        </is>
      </c>
      <c r="B59" s="108" t="inlineStr">
        <is>
          <t>第5周</t>
        </is>
      </c>
      <c r="C59" s="108" t="inlineStr">
        <is>
          <t>8/23-8/29｜月度收口/复盘</t>
        </is>
      </c>
      <c r="D59" s="108" t="inlineStr">
        <is>
          <t>阶段验收：数学三科框架总默写；确认9月两天一卷节奏</t>
        </is>
      </c>
      <c r="E59" s="108" t="inlineStr">
        <is>
          <t>阶段验收：英一60篇阅读完成度；作文模板默写不卡壳</t>
        </is>
      </c>
      <c r="F59" s="108" t="inlineStr">
        <is>
          <t>政治：不安排</t>
        </is>
      </c>
      <c r="G59" s="108" t="inlineStr">
        <is>
          <t>822阶段验收：9月前完成强化一遍课本、两遍240</t>
        </is>
      </c>
      <c r="H59" s="108" t="inlineStr">
        <is>
          <t>周验收：数学综合题+英语阅读+822专题均达80%；周日只补欠账</t>
        </is>
      </c>
      <c r="I59" s="108" t="n">
        <v>8</v>
      </c>
      <c r="J59" s="108" t="inlineStr">
        <is>
          <t>未开始</t>
        </is>
      </c>
    </row>
    <row r="60">
      <c r="A60" s="108" t="inlineStr">
        <is>
          <t>2027-09</t>
        </is>
      </c>
      <c r="B60" s="108" t="inlineStr">
        <is>
          <t>第1周</t>
        </is>
      </c>
      <c r="C60" s="108" t="inlineStr">
        <is>
          <t>8/30-9/5｜推进周</t>
        </is>
      </c>
      <c r="D60" s="108" t="inlineStr">
        <is>
          <t>真题套卷：2007-2008按“两天一张”完成并复盘</t>
        </is>
      </c>
      <c r="E60" s="108" t="inlineStr">
        <is>
          <t>9/1作文正式：秘密哥模板背默；完形易熙人第1组</t>
        </is>
      </c>
      <c r="F60" s="108" t="inlineStr">
        <is>
          <t>政治启动：徐涛强化马原第1批+720；中午/路上/夜间三刷共约1h</t>
        </is>
      </c>
      <c r="G60" s="108" t="inlineStr">
        <is>
          <t>822真题一轮：真题第1批；只按题型归类，不追求快</t>
        </is>
      </c>
      <c r="H60" s="108" t="inlineStr">
        <is>
          <t>周验收：套卷按时完成并扫描；错题回讲义/课本；四科完成率≥80%</t>
        </is>
      </c>
      <c r="I60" s="108" t="n">
        <v>8</v>
      </c>
      <c r="J60" s="108" t="inlineStr">
        <is>
          <t>未开始</t>
        </is>
      </c>
    </row>
    <row r="61">
      <c r="A61" s="108" t="inlineStr">
        <is>
          <t>2027-09</t>
        </is>
      </c>
      <c r="B61" s="108" t="inlineStr">
        <is>
          <t>第2周</t>
        </is>
      </c>
      <c r="C61" s="108" t="inlineStr">
        <is>
          <t>9/6-9/12｜推进周</t>
        </is>
      </c>
      <c r="D61" s="108" t="inlineStr">
        <is>
          <t>真题套卷：2009-2010完成；错题回讲义/880专题</t>
        </is>
      </c>
      <c r="E61" s="108" t="inlineStr">
        <is>
          <t>三小门：翻译柴荣第1组；新题型方法复盘；作文1篇</t>
        </is>
      </c>
      <c r="F61" s="108" t="inlineStr">
        <is>
          <t>徐涛强化：马原第2批+720；选择题错因按知识点标</t>
        </is>
      </c>
      <c r="G61" s="108" t="inlineStr">
        <is>
          <t>822真题一轮：真题第2批；错题回课本/240</t>
        </is>
      </c>
      <c r="H61" s="108" t="inlineStr">
        <is>
          <t>周验收：套卷按时完成并扫描；错题回讲义/课本；四科完成率≥80%</t>
        </is>
      </c>
      <c r="I61" s="108" t="n">
        <v>8</v>
      </c>
      <c r="J61" s="108" t="inlineStr">
        <is>
          <t>未开始</t>
        </is>
      </c>
    </row>
    <row r="62">
      <c r="A62" s="108" t="inlineStr">
        <is>
          <t>2027-09</t>
        </is>
      </c>
      <c r="B62" s="108" t="inlineStr">
        <is>
          <t>第3周</t>
        </is>
      </c>
      <c r="C62" s="108" t="inlineStr">
        <is>
          <t>9/13-9/19｜推进周</t>
        </is>
      </c>
      <c r="D62" s="108" t="inlineStr">
        <is>
          <t>真题套卷：2011-2012完成；记录每套失分来源</t>
        </is>
      </c>
      <c r="E62" s="108" t="inlineStr">
        <is>
          <t>阅读二刷：错题年份第1批；作文图画/品质类各1篇</t>
        </is>
      </c>
      <c r="F62" s="108" t="inlineStr">
        <is>
          <t>徐涛强化：史纲第1批+720；大李子学练闭环</t>
        </is>
      </c>
      <c r="G62" s="108" t="inlineStr">
        <is>
          <t>822真题一轮：真题第3批；结论卡复述</t>
        </is>
      </c>
      <c r="H62" s="108" t="inlineStr">
        <is>
          <t>周验收：套卷按时完成并扫描；错题回讲义/课本；四科完成率≥80%</t>
        </is>
      </c>
      <c r="I62" s="108" t="n">
        <v>8</v>
      </c>
      <c r="J62" s="108" t="inlineStr">
        <is>
          <t>未开始</t>
        </is>
      </c>
    </row>
    <row r="63">
      <c r="A63" s="108" t="inlineStr">
        <is>
          <t>2027-09</t>
        </is>
      </c>
      <c r="B63" s="108" t="inlineStr">
        <is>
          <t>第4周</t>
        </is>
      </c>
      <c r="C63" s="108" t="inlineStr">
        <is>
          <t>9/20-9/26｜月度收口/复盘</t>
        </is>
      </c>
      <c r="D63" s="108" t="inlineStr">
        <is>
          <t>真题套卷：2013-2014完成；计算类题红笔二次检查</t>
        </is>
      </c>
      <c r="E63" s="108" t="inlineStr">
        <is>
          <t>月末验收：三小门流程固定；作文模板默写3遍</t>
        </is>
      </c>
      <c r="F63" s="108" t="inlineStr">
        <is>
          <t>史纲收口：720错题回做；南山小程序入口准备</t>
        </is>
      </c>
      <c r="G63" s="108" t="inlineStr">
        <is>
          <t>822真题一轮验收：完成强化一轮并列出二轮题型缺口</t>
        </is>
      </c>
      <c r="H63" s="108" t="inlineStr">
        <is>
          <t>周验收：套卷按时完成并扫描；错题回讲义/课本；四科完成率≥80%</t>
        </is>
      </c>
      <c r="I63" s="108" t="n">
        <v>8</v>
      </c>
      <c r="J63" s="108" t="inlineStr">
        <is>
          <t>未开始</t>
        </is>
      </c>
    </row>
    <row r="64">
      <c r="A64" s="108" t="inlineStr">
        <is>
          <t>2027-10</t>
        </is>
      </c>
      <c r="B64" s="108" t="inlineStr">
        <is>
          <t>第1周</t>
        </is>
      </c>
      <c r="C64" s="108" t="inlineStr">
        <is>
          <t>9/27-10/3｜推进周</t>
        </is>
      </c>
      <c r="D64" s="108" t="inlineStr">
        <is>
          <t>真题/模拟轮换：2015-2016真题；若2021-2026真题均分未到135，暂不真模替换</t>
        </is>
      </c>
      <c r="E64" s="108" t="inlineStr">
        <is>
          <t>真题套卷二刷：阅读+三小门；单词复习100%；作文扇贝修改</t>
        </is>
      </c>
      <c r="F64" s="108" t="inlineStr">
        <is>
          <t>南山小程序模拟题第1批；肖八未出前只刷选择</t>
        </is>
      </c>
      <c r="G64" s="108" t="inlineStr">
        <is>
          <t>822二轮强化：真题第1-2轮第1批；100题第1组</t>
        </is>
      </c>
      <c r="H64" s="108" t="inlineStr">
        <is>
          <t>周验收：套卷按时完成并扫描；错题回讲义/课本；四科完成率≥80%</t>
        </is>
      </c>
      <c r="I64" s="108" t="n">
        <v>8</v>
      </c>
      <c r="J64" s="108" t="inlineStr">
        <is>
          <t>未开始</t>
        </is>
      </c>
    </row>
    <row r="65">
      <c r="A65" s="108" t="inlineStr">
        <is>
          <t>2027-10</t>
        </is>
      </c>
      <c r="B65" s="108" t="inlineStr">
        <is>
          <t>第2周</t>
        </is>
      </c>
      <c r="C65" s="108" t="inlineStr">
        <is>
          <t>10/4-10/10｜推进周</t>
        </is>
      </c>
      <c r="D65" s="108" t="inlineStr">
        <is>
          <t>真题/模拟轮换：2017-2018真题；880剩余专题补漏</t>
        </is>
      </c>
      <c r="E65" s="108" t="inlineStr">
        <is>
          <t>真题套卷二刷：完形/翻译专项；作文限时2篇</t>
        </is>
      </c>
      <c r="F65" s="108" t="inlineStr">
        <is>
          <t>南山模拟第2批；马原/史纲错题专题回看</t>
        </is>
      </c>
      <c r="G65" s="108" t="inlineStr">
        <is>
          <t>822二轮强化：真题第1-2轮第2批；100题第2组</t>
        </is>
      </c>
      <c r="H65" s="108" t="inlineStr">
        <is>
          <t>周验收：套卷按时完成并扫描；错题回讲义/课本；四科完成率≥80%</t>
        </is>
      </c>
      <c r="I65" s="108" t="n">
        <v>8</v>
      </c>
      <c r="J65" s="108" t="inlineStr">
        <is>
          <t>未开始</t>
        </is>
      </c>
    </row>
    <row r="66">
      <c r="A66" s="108" t="inlineStr">
        <is>
          <t>2027-10</t>
        </is>
      </c>
      <c r="B66" s="108" t="inlineStr">
        <is>
          <t>第3周</t>
        </is>
      </c>
      <c r="C66" s="108" t="inlineStr">
        <is>
          <t>10/11-10/17｜推进周</t>
        </is>
      </c>
      <c r="D66" s="108" t="inlineStr">
        <is>
          <t>真题/模拟轮换：2019真题+合工大1套试水；复盘不跳步</t>
        </is>
      </c>
      <c r="E66" s="108" t="inlineStr">
        <is>
          <t>真题套卷三刷：阅读错题回做；新题型专项</t>
        </is>
      </c>
      <c r="F66" s="108" t="inlineStr">
        <is>
          <t>肖八发布前冲刺选择；每天一日三刷保持</t>
        </is>
      </c>
      <c r="G66" s="108" t="inlineStr">
        <is>
          <t>822二轮强化：其他学校控制题第1批；不偏离清华题型</t>
        </is>
      </c>
      <c r="H66" s="108" t="inlineStr">
        <is>
          <t>周验收：套卷按时完成并扫描；错题回讲义/课本；四科完成率≥80%</t>
        </is>
      </c>
      <c r="I66" s="108" t="n">
        <v>8</v>
      </c>
      <c r="J66" s="108" t="inlineStr">
        <is>
          <t>未开始</t>
        </is>
      </c>
    </row>
    <row r="67">
      <c r="A67" s="108" t="inlineStr">
        <is>
          <t>2027-10</t>
        </is>
      </c>
      <c r="B67" s="108" t="inlineStr">
        <is>
          <t>第4周</t>
        </is>
      </c>
      <c r="C67" s="108" t="inlineStr">
        <is>
          <t>10/18-10/24｜推进周</t>
        </is>
      </c>
      <c r="D67" s="108" t="inlineStr">
        <is>
          <t>真题/模拟轮换：2020真题限时；统计已做真题均分（为11月底135判定准备）</t>
        </is>
      </c>
      <c r="E67" s="108" t="inlineStr">
        <is>
          <t>套卷训练：按考试时间完成1套；作文模板调整</t>
        </is>
      </c>
      <c r="F67" s="108" t="inlineStr">
        <is>
          <t>肖八若发布：选择题第1轮；未发布则南山第3批</t>
        </is>
      </c>
      <c r="G67" s="108" t="inlineStr">
        <is>
          <t>822二轮强化：100题第3组；综合限时</t>
        </is>
      </c>
      <c r="H67" s="108" t="inlineStr">
        <is>
          <t>周验收：套卷按时完成并扫描；错题回讲义/课本；四科完成率≥80%</t>
        </is>
      </c>
      <c r="I67" s="108" t="n">
        <v>8</v>
      </c>
      <c r="J67" s="108" t="inlineStr">
        <is>
          <t>未开始</t>
        </is>
      </c>
    </row>
    <row r="68">
      <c r="A68" s="108" t="inlineStr">
        <is>
          <t>2027-10</t>
        </is>
      </c>
      <c r="B68" s="108" t="inlineStr">
        <is>
          <t>第5周</t>
        </is>
      </c>
      <c r="C68" s="108" t="inlineStr">
        <is>
          <t>10/25-10/31｜月度收口/复盘</t>
        </is>
      </c>
      <c r="D68" s="108" t="inlineStr">
        <is>
          <t>月末验收：11月底完成2021-2026真题后判定：均分≥135则12月开合工大/李艳芳，否则12月只二刷真题</t>
        </is>
      </c>
      <c r="E68" s="108" t="inlineStr">
        <is>
          <t>月末验收：作文大/小作文各3篇；真题错题归档</t>
        </is>
      </c>
      <c r="F68" s="108" t="inlineStr">
        <is>
          <t>月末验收：政治选择错题按模块归档</t>
        </is>
      </c>
      <c r="G68" s="108" t="inlineStr">
        <is>
          <t>822月末验收：10月前完成第二轮强化</t>
        </is>
      </c>
      <c r="H68" s="108" t="inlineStr">
        <is>
          <t>周验收：套卷按时完成并扫描；错题回讲义/课本；四科完成率≥80%</t>
        </is>
      </c>
      <c r="I68" s="108" t="n">
        <v>8</v>
      </c>
      <c r="J68" s="108" t="inlineStr">
        <is>
          <t>未开始</t>
        </is>
      </c>
    </row>
    <row r="69">
      <c r="A69" s="108" t="inlineStr">
        <is>
          <t>2027-11</t>
        </is>
      </c>
      <c r="B69" s="108" t="inlineStr">
        <is>
          <t>第1周</t>
        </is>
      </c>
      <c r="C69" s="108" t="inlineStr">
        <is>
          <t>11/1-11/7｜推进周</t>
        </is>
      </c>
      <c r="D69" s="108" t="inlineStr">
        <is>
          <t>冲刺套卷：2021真题+2022真题；两天一张（模拟卷待11月底135判定）</t>
        </is>
      </c>
      <c r="E69" s="108" t="inlineStr">
        <is>
          <t>套卷冲刺：保留年份前置检查；作文默写+练字</t>
        </is>
      </c>
      <c r="F69" s="108" t="inlineStr">
        <is>
          <t>肖八选择第1-2套；选择错题回教材/核心考察</t>
        </is>
      </c>
      <c r="G69" s="108" t="inlineStr">
        <is>
          <t>822冲刺：大套卷第1批；真题错题回教材</t>
        </is>
      </c>
      <c r="H69" s="108" t="inlineStr">
        <is>
          <t>周验收：套卷按时完成并扫描；错题回讲义/课本；四科完成率≥80%</t>
        </is>
      </c>
      <c r="I69" s="108" t="n">
        <v>8</v>
      </c>
      <c r="J69" s="108" t="inlineStr">
        <is>
          <t>未开始</t>
        </is>
      </c>
    </row>
    <row r="70">
      <c r="A70" s="108" t="inlineStr">
        <is>
          <t>2027-11</t>
        </is>
      </c>
      <c r="B70" s="108" t="inlineStr">
        <is>
          <t>第2周</t>
        </is>
      </c>
      <c r="C70" s="108" t="inlineStr">
        <is>
          <t>11/8-11/14｜推进周</t>
        </is>
      </c>
      <c r="D70" s="108" t="inlineStr">
        <is>
          <t>冲刺套卷：2023-2024真题；错题导出PDF</t>
        </is>
      </c>
      <c r="E70" s="108" t="inlineStr">
        <is>
          <t>三小门冲刺：完形/翻译/新题型各2组；单词不断</t>
        </is>
      </c>
      <c r="F70" s="108" t="inlineStr">
        <is>
          <t>肖八选择第3-4套；马原错题专题</t>
        </is>
      </c>
      <c r="G70" s="108" t="inlineStr">
        <is>
          <t>822冲刺：冲刺卷第1批；结论卡盲背</t>
        </is>
      </c>
      <c r="H70" s="108" t="inlineStr">
        <is>
          <t>周验收：套卷按时完成并扫描；错题回讲义/课本；四科完成率≥80%</t>
        </is>
      </c>
      <c r="I70" s="108" t="n">
        <v>8</v>
      </c>
      <c r="J70" s="108" t="inlineStr">
        <is>
          <t>未开始</t>
        </is>
      </c>
    </row>
    <row r="71">
      <c r="A71" s="108" t="inlineStr">
        <is>
          <t>2027-11</t>
        </is>
      </c>
      <c r="B71" s="108" t="inlineStr">
        <is>
          <t>第3周</t>
        </is>
      </c>
      <c r="C71" s="108" t="inlineStr">
        <is>
          <t>11/15-11/21｜推进周</t>
        </is>
      </c>
      <c r="D71" s="108" t="inlineStr">
        <is>
          <t>冲刺套卷：2025-2026真题；880查漏补缺</t>
        </is>
      </c>
      <c r="E71" s="108" t="inlineStr">
        <is>
          <t>作文冲刺：大作文3篇、小作文3篇；扇贝修改</t>
        </is>
      </c>
      <c r="F71" s="108" t="inlineStr">
        <is>
          <t>肖八选择第5-6套；史纲/毛中特错题专题</t>
        </is>
      </c>
      <c r="G71" s="108" t="inlineStr">
        <is>
          <t>822冲刺：大套卷第2批；计算/推导不跳步</t>
        </is>
      </c>
      <c r="H71" s="108" t="inlineStr">
        <is>
          <t>周验收：套卷按时完成并扫描；错题回讲义/课本；四科完成率≥80%</t>
        </is>
      </c>
      <c r="I71" s="108" t="n">
        <v>8</v>
      </c>
      <c r="J71" s="108" t="inlineStr">
        <is>
          <t>未开始</t>
        </is>
      </c>
    </row>
    <row r="72">
      <c r="A72" s="108" t="inlineStr">
        <is>
          <t>2027-11</t>
        </is>
      </c>
      <c r="B72" s="108" t="inlineStr">
        <is>
          <t>第4周</t>
        </is>
      </c>
      <c r="C72" s="108" t="inlineStr">
        <is>
          <t>11/22-11/28｜月度收口/复盘</t>
        </is>
      </c>
      <c r="D72" s="108" t="inlineStr">
        <is>
          <t>真题均分判定+合工大/李艳芳试水；只保留高频错因</t>
        </is>
      </c>
      <c r="E72" s="108" t="inlineStr">
        <is>
          <t>阅读冲刺：只回错题和长难句；套卷节奏稳定</t>
        </is>
      </c>
      <c r="F72" s="108" t="inlineStr">
        <is>
          <t>肖八选择第7-8套；主观题背诵入口</t>
        </is>
      </c>
      <c r="G72" s="108" t="inlineStr">
        <is>
          <t>822冲刺：真题高频题型最后归档</t>
        </is>
      </c>
      <c r="H72" s="108" t="inlineStr">
        <is>
          <t>周验收：套卷按时完成并扫描；错题回讲义/课本；四科完成率≥80%</t>
        </is>
      </c>
      <c r="I72" s="108" t="n">
        <v>8</v>
      </c>
      <c r="J72" s="108" t="inlineStr">
        <is>
          <t>未开始</t>
        </is>
      </c>
    </row>
    <row r="73">
      <c r="A73" s="108" t="inlineStr">
        <is>
          <t>2027-12</t>
        </is>
      </c>
      <c r="B73" s="108" t="inlineStr">
        <is>
          <t>第1周</t>
        </is>
      </c>
      <c r="C73" s="108" t="inlineStr">
        <is>
          <t>11/29-12/5｜推进周</t>
        </is>
      </c>
      <c r="D73" s="108" t="inlineStr">
        <is>
          <t>考前真题：12/1做2024年；12/6做2025年；其余只看错题和框架</t>
        </is>
      </c>
      <c r="E73" s="108" t="inlineStr">
        <is>
          <t>考前真题：12/1做2024年；单词+作文模板维持</t>
        </is>
      </c>
      <c r="F73" s="108" t="inlineStr">
        <is>
          <t>肖四选择+主观题第1轮；大牙/帕拉迪宇材料方法</t>
        </is>
      </c>
      <c r="G73" s="108" t="inlineStr">
        <is>
          <t>822考前：大套卷/真题最后1轮；只看公式、结论、标注错题</t>
        </is>
      </c>
      <c r="H73" s="108" t="inlineStr">
        <is>
          <t>周验收：套卷按时完成并扫描；错题回讲义/课本；四科完成率≥80%</t>
        </is>
      </c>
      <c r="I73" s="108" t="n">
        <v>8</v>
      </c>
      <c r="J73" s="108" t="inlineStr">
        <is>
          <t>未开始</t>
        </is>
      </c>
    </row>
    <row r="74">
      <c r="A74" s="108" t="inlineStr">
        <is>
          <t>2027-12</t>
        </is>
      </c>
      <c r="B74" s="108" t="inlineStr">
        <is>
          <t>第2周</t>
        </is>
      </c>
      <c r="C74" s="108" t="inlineStr">
        <is>
          <t>12/6-12/12｜推进周</t>
        </is>
      </c>
      <c r="D74" s="108" t="inlineStr">
        <is>
          <t>考前真题：12/13做2026年；红笔复查计算量大题</t>
        </is>
      </c>
      <c r="E74" s="108" t="inlineStr">
        <is>
          <t>考前真题：12/6做2025年；作文默写不改大框架</t>
        </is>
      </c>
      <c r="F74" s="108" t="inlineStr">
        <is>
          <t>肖四主观题第2轮；选择题错题只看高频</t>
        </is>
      </c>
      <c r="G74" s="108" t="inlineStr">
        <is>
          <t>822考前：冲刺卷错题回看；停止开新学校题</t>
        </is>
      </c>
      <c r="H74" s="108" t="inlineStr">
        <is>
          <t>周验收：套卷按时完成并扫描；错题回讲义/课本；四科完成率≥80%</t>
        </is>
      </c>
      <c r="I74" s="108" t="n">
        <v>8</v>
      </c>
      <c r="J74" s="108" t="inlineStr">
        <is>
          <t>未开始</t>
        </is>
      </c>
    </row>
    <row r="75">
      <c r="A75" s="108" t="inlineStr">
        <is>
          <t>2027-12</t>
        </is>
      </c>
      <c r="B75" s="108" t="inlineStr">
        <is>
          <t>第3周</t>
        </is>
      </c>
      <c r="C75" s="108" t="inlineStr">
        <is>
          <t>12/13-12/19｜月度收口/复盘</t>
        </is>
      </c>
      <c r="D75" s="108" t="inlineStr">
        <is>
          <t>考前收束：停止开新资料；复盘公式/结论/标注错题；12/18-19初试</t>
        </is>
      </c>
      <c r="E75" s="108" t="inlineStr">
        <is>
          <t>考前真题：12/13做2026年；停止新题，只看错题/模板</t>
        </is>
      </c>
      <c r="F75" s="108" t="inlineStr">
        <is>
          <t>考前背诵：肖四主观题框架；政治一日三刷不断</t>
        </is>
      </c>
      <c r="G75" s="108" t="inlineStr">
        <is>
          <t>822收束：结论卡+草稿规范；12/18-19初试</t>
        </is>
      </c>
      <c r="H75" s="108" t="inlineStr">
        <is>
          <t>周验收：套卷按时完成并扫描；错题回讲义/课本；四科完成率≥80%</t>
        </is>
      </c>
      <c r="I75" s="108" t="n">
        <v>8</v>
      </c>
      <c r="J75" s="108" t="inlineStr">
        <is>
          <t>未开始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sheetData>
    <row r="1">
      <c r="A1" s="191" t="inlineStr">
        <is>
          <t>11｜详细月度规划（备查版）</t>
        </is>
      </c>
      <c r="B1" s="191" t="inlineStr">
        <is>
          <t>11｜详细月度规划（备查版）</t>
        </is>
      </c>
      <c r="C1" s="191" t="inlineStr">
        <is>
          <t>11｜详细月度规划（备查版）</t>
        </is>
      </c>
      <c r="D1" s="191" t="inlineStr">
        <is>
          <t>11｜详细月度规划（备查版）</t>
        </is>
      </c>
      <c r="E1" s="191" t="inlineStr">
        <is>
          <t>11｜详细月度规划（备查版）</t>
        </is>
      </c>
      <c r="F1" s="191" t="inlineStr">
        <is>
          <t>11｜详细月度规划（备查版）</t>
        </is>
      </c>
      <c r="G1" s="191" t="inlineStr">
        <is>
          <t>11｜详细月度规划（备查版）</t>
        </is>
      </c>
      <c r="H1" s="191" t="inlineStr">
        <is>
          <t>11｜详细月度规划（备查版）</t>
        </is>
      </c>
    </row>
    <row r="2">
      <c r="A2" s="108" t="inlineStr">
        <is>
          <t>改周计划时只改03页；本页会同步显示每月四科任务堆叠，用来月初检查强度、月底验收欠账。</t>
        </is>
      </c>
      <c r="B2" s="108" t="n"/>
      <c r="C2" s="108" t="n"/>
      <c r="D2" s="108" t="n"/>
      <c r="E2" s="108" t="n"/>
      <c r="F2" s="108" t="n"/>
      <c r="G2" s="108" t="n"/>
      <c r="H2" s="108" t="n"/>
    </row>
    <row r="3">
      <c r="A3" s="108" t="inlineStr">
        <is>
          <t>月份</t>
        </is>
      </c>
      <c r="B3" s="108" t="inlineStr">
        <is>
          <t>执行周与日期</t>
        </is>
      </c>
      <c r="C3" s="108" t="inlineStr">
        <is>
          <t>数学一：当月周任务总和</t>
        </is>
      </c>
      <c r="D3" s="108" t="inlineStr">
        <is>
          <t>英语/雅思：当月周任务总和</t>
        </is>
      </c>
      <c r="E3" s="108" t="inlineStr">
        <is>
          <t>政治：当月周任务总和</t>
        </is>
      </c>
      <c r="F3" s="108" t="inlineStr">
        <is>
          <t>822：当月周任务总和</t>
        </is>
      </c>
      <c r="G3" s="108" t="inlineStr">
        <is>
          <t>月末验收</t>
        </is>
      </c>
      <c r="H3" s="108" t="inlineStr">
        <is>
          <t>计划工作量</t>
        </is>
      </c>
    </row>
    <row r="4">
      <c r="A4" s="108" t="inlineStr">
        <is>
          <t>2026-08</t>
        </is>
      </c>
      <c r="B4" s="108">
        <f>"第1周："&amp;'10_详细周计划'!C4&amp;CHAR(10)&amp;"第2周："&amp;'10_详细周计划'!C5&amp;CHAR(10)&amp;"第3周："&amp;'10_详细周计划'!C6&amp;CHAR(10)&amp;"第4周："&amp;'10_详细周计划'!C7</f>
        <v/>
      </c>
      <c r="C4" s="108">
        <f>"第1周："&amp;'10_详细周计划'!D4&amp;CHAR(10)&amp;"第2周："&amp;'10_详细周计划'!D5&amp;CHAR(10)&amp;"第3周："&amp;'10_详细周计划'!D6&amp;CHAR(10)&amp;"第4周："&amp;'10_详细周计划'!D7</f>
        <v/>
      </c>
      <c r="D4" s="108">
        <f>"第1周："&amp;'10_详细周计划'!E4&amp;CHAR(10)&amp;"第2周："&amp;'10_详细周计划'!E5&amp;CHAR(10)&amp;"第3周："&amp;'10_详细周计划'!E6&amp;CHAR(10)&amp;"第4周："&amp;'10_详细周计划'!E7</f>
        <v/>
      </c>
      <c r="E4" s="108">
        <f>"第1周："&amp;'10_详细周计划'!F4&amp;CHAR(10)&amp;"第2周："&amp;'10_详细周计划'!F5&amp;CHAR(10)&amp;"第3周："&amp;'10_详细周计划'!F6&amp;CHAR(10)&amp;"第4周："&amp;'10_详细周计划'!F7</f>
        <v/>
      </c>
      <c r="F4" s="108">
        <f>"第1周："&amp;'10_详细周计划'!G4&amp;CHAR(10)&amp;"第2周："&amp;'10_详细周计划'!G5&amp;CHAR(10)&amp;"第3周："&amp;'10_详细周计划'!G6&amp;CHAR(10)&amp;"第4周："&amp;'10_详细周计划'!G7</f>
        <v/>
      </c>
      <c r="G4" s="108">
        <f>"第1周："&amp;'10_详细周计划'!H4&amp;CHAR(10)&amp;"第2周："&amp;'10_详细周计划'!H5&amp;CHAR(10)&amp;"第3周："&amp;'10_详细周计划'!H6&amp;CHAR(10)&amp;"第4周："&amp;'10_详细周计划'!H7</f>
        <v/>
      </c>
      <c r="H4" s="108">
        <f>"共"&amp;4&amp;"周；日均"&amp;ROUND(AVERAGE('10_详细周计划'!I4:I7),1)&amp;"h；周总有效学习约"&amp;ROUND(SUM('10_详细周计划'!I4:I7)*7,0)&amp;"h"</f>
        <v/>
      </c>
    </row>
    <row r="5">
      <c r="A5" s="108" t="inlineStr">
        <is>
          <t>2026-09</t>
        </is>
      </c>
      <c r="B5" s="108">
        <f>"第1周："&amp;'10_详细周计划'!C8&amp;CHAR(10)&amp;"第2周："&amp;'10_详细周计划'!C9&amp;CHAR(10)&amp;"第3周："&amp;'10_详细周计划'!C10&amp;CHAR(10)&amp;"第4周："&amp;'10_详细周计划'!C11</f>
        <v/>
      </c>
      <c r="C5" s="108">
        <f>"第1周："&amp;'10_详细周计划'!D8&amp;CHAR(10)&amp;"第2周："&amp;'10_详细周计划'!D9&amp;CHAR(10)&amp;"第3周："&amp;'10_详细周计划'!D10&amp;CHAR(10)&amp;"第4周："&amp;'10_详细周计划'!D11</f>
        <v/>
      </c>
      <c r="D5" s="108">
        <f>"第1周："&amp;'10_详细周计划'!E8&amp;CHAR(10)&amp;"第2周："&amp;'10_详细周计划'!E9&amp;CHAR(10)&amp;"第3周："&amp;'10_详细周计划'!E10&amp;CHAR(10)&amp;"第4周："&amp;'10_详细周计划'!E11</f>
        <v/>
      </c>
      <c r="E5" s="108">
        <f>"第1周："&amp;'10_详细周计划'!F8&amp;CHAR(10)&amp;"第2周："&amp;'10_详细周计划'!F9&amp;CHAR(10)&amp;"第3周："&amp;'10_详细周计划'!F10&amp;CHAR(10)&amp;"第4周："&amp;'10_详细周计划'!F11</f>
        <v/>
      </c>
      <c r="F5" s="108">
        <f>"第1周："&amp;'10_详细周计划'!G8&amp;CHAR(10)&amp;"第2周："&amp;'10_详细周计划'!G9&amp;CHAR(10)&amp;"第3周："&amp;'10_详细周计划'!G10&amp;CHAR(10)&amp;"第4周："&amp;'10_详细周计划'!G11</f>
        <v/>
      </c>
      <c r="G5" s="108">
        <f>"第1周："&amp;'10_详细周计划'!H8&amp;CHAR(10)&amp;"第2周："&amp;'10_详细周计划'!H9&amp;CHAR(10)&amp;"第3周："&amp;'10_详细周计划'!H10&amp;CHAR(10)&amp;"第4周："&amp;'10_详细周计划'!H11</f>
        <v/>
      </c>
      <c r="H5" s="108">
        <f>"共"&amp;4&amp;"周；日均"&amp;ROUND(AVERAGE('10_详细周计划'!I8:I11),1)&amp;"h；周总有效学习约"&amp;ROUND(SUM('10_详细周计划'!I8:I11)*7,0)&amp;"h"</f>
        <v/>
      </c>
    </row>
    <row r="6">
      <c r="A6" s="108" t="inlineStr">
        <is>
          <t>2026-10</t>
        </is>
      </c>
      <c r="B6" s="108">
        <f>"第1周："&amp;'10_详细周计划'!C12&amp;CHAR(10)&amp;"第2周："&amp;'10_详细周计划'!C13&amp;CHAR(10)&amp;"第3周："&amp;'10_详细周计划'!C14&amp;CHAR(10)&amp;"第4周："&amp;'10_详细周计划'!C15</f>
        <v/>
      </c>
      <c r="C6" s="108">
        <f>"第1周："&amp;'10_详细周计划'!D12&amp;CHAR(10)&amp;"第2周："&amp;'10_详细周计划'!D13&amp;CHAR(10)&amp;"第3周："&amp;'10_详细周计划'!D14&amp;CHAR(10)&amp;"第4周："&amp;'10_详细周计划'!D15</f>
        <v/>
      </c>
      <c r="D6" s="108">
        <f>"第1周："&amp;'10_详细周计划'!E12&amp;CHAR(10)&amp;"第2周："&amp;'10_详细周计划'!E13&amp;CHAR(10)&amp;"第3周："&amp;'10_详细周计划'!E14&amp;CHAR(10)&amp;"第4周："&amp;'10_详细周计划'!E15</f>
        <v/>
      </c>
      <c r="E6" s="108">
        <f>"第1周："&amp;'10_详细周计划'!F12&amp;CHAR(10)&amp;"第2周："&amp;'10_详细周计划'!F13&amp;CHAR(10)&amp;"第3周："&amp;'10_详细周计划'!F14&amp;CHAR(10)&amp;"第4周："&amp;'10_详细周计划'!F15</f>
        <v/>
      </c>
      <c r="F6" s="108">
        <f>"第1周："&amp;'10_详细周计划'!G12&amp;CHAR(10)&amp;"第2周："&amp;'10_详细周计划'!G13&amp;CHAR(10)&amp;"第3周："&amp;'10_详细周计划'!G14&amp;CHAR(10)&amp;"第4周："&amp;'10_详细周计划'!G15</f>
        <v/>
      </c>
      <c r="G6" s="108">
        <f>"第1周："&amp;'10_详细周计划'!H12&amp;CHAR(10)&amp;"第2周："&amp;'10_详细周计划'!H13&amp;CHAR(10)&amp;"第3周："&amp;'10_详细周计划'!H14&amp;CHAR(10)&amp;"第4周："&amp;'10_详细周计划'!H15</f>
        <v/>
      </c>
      <c r="H6" s="108">
        <f>"共"&amp;4&amp;"周；日均"&amp;ROUND(AVERAGE('10_详细周计划'!I12:I15),1)&amp;"h；周总有效学习约"&amp;ROUND(SUM('10_详细周计划'!I12:I15)*7,0)&amp;"h"</f>
        <v/>
      </c>
    </row>
    <row r="7">
      <c r="A7" s="108" t="inlineStr">
        <is>
          <t>2026-11</t>
        </is>
      </c>
      <c r="B7" s="108">
        <f>"第1周："&amp;'10_详细周计划'!C16&amp;CHAR(10)&amp;"第2周："&amp;'10_详细周计划'!C17&amp;CHAR(10)&amp;"第3周："&amp;'10_详细周计划'!C18&amp;CHAR(10)&amp;"第4周："&amp;'10_详细周计划'!C19&amp;CHAR(10)&amp;"第5周："&amp;'10_详细周计划'!C20</f>
        <v/>
      </c>
      <c r="C7" s="108">
        <f>"第1周："&amp;'10_详细周计划'!D16&amp;CHAR(10)&amp;"第2周："&amp;'10_详细周计划'!D17&amp;CHAR(10)&amp;"第3周："&amp;'10_详细周计划'!D18&amp;CHAR(10)&amp;"第4周："&amp;'10_详细周计划'!D19&amp;CHAR(10)&amp;"第5周："&amp;'10_详细周计划'!D20</f>
        <v/>
      </c>
      <c r="D7" s="108">
        <f>"第1周："&amp;'10_详细周计划'!E16&amp;CHAR(10)&amp;"第2周："&amp;'10_详细周计划'!E17&amp;CHAR(10)&amp;"第3周："&amp;'10_详细周计划'!E18&amp;CHAR(10)&amp;"第4周："&amp;'10_详细周计划'!E19&amp;CHAR(10)&amp;"第5周："&amp;'10_详细周计划'!E20</f>
        <v/>
      </c>
      <c r="E7" s="108">
        <f>"第1周："&amp;'10_详细周计划'!F16&amp;CHAR(10)&amp;"第2周："&amp;'10_详细周计划'!F17&amp;CHAR(10)&amp;"第3周："&amp;'10_详细周计划'!F18&amp;CHAR(10)&amp;"第4周："&amp;'10_详细周计划'!F19&amp;CHAR(10)&amp;"第5周："&amp;'10_详细周计划'!F20</f>
        <v/>
      </c>
      <c r="F7" s="108">
        <f>"第1周："&amp;'10_详细周计划'!G16&amp;CHAR(10)&amp;"第2周："&amp;'10_详细周计划'!G17&amp;CHAR(10)&amp;"第3周："&amp;'10_详细周计划'!G18&amp;CHAR(10)&amp;"第4周："&amp;'10_详细周计划'!G19&amp;CHAR(10)&amp;"第5周："&amp;'10_详细周计划'!G20</f>
        <v/>
      </c>
      <c r="G7" s="108">
        <f>"第1周："&amp;'10_详细周计划'!H16&amp;CHAR(10)&amp;"第2周："&amp;'10_详细周计划'!H17&amp;CHAR(10)&amp;"第3周："&amp;'10_详细周计划'!H18&amp;CHAR(10)&amp;"第4周："&amp;'10_详细周计划'!H19&amp;CHAR(10)&amp;"第5周："&amp;'10_详细周计划'!H20</f>
        <v/>
      </c>
      <c r="H7" s="108">
        <f>"共"&amp;5&amp;"周；日均"&amp;ROUND(AVERAGE('10_详细周计划'!I16:I20),1)&amp;"h；周总有效学习约"&amp;ROUND(SUM('10_详细周计划'!I16:I20)*7,0)&amp;"h"</f>
        <v/>
      </c>
    </row>
    <row r="8">
      <c r="A8" s="108" t="inlineStr">
        <is>
          <t>2026-12</t>
        </is>
      </c>
      <c r="B8" s="108">
        <f>"第1周："&amp;'10_详细周计划'!C21&amp;CHAR(10)&amp;"第2周："&amp;'10_详细周计划'!C22&amp;CHAR(10)&amp;"第3周："&amp;'10_详细周计划'!C23&amp;CHAR(10)&amp;"第4周："&amp;'10_详细周计划'!C24</f>
        <v/>
      </c>
      <c r="C8" s="108">
        <f>"第1周："&amp;'10_详细周计划'!D21&amp;CHAR(10)&amp;"第2周："&amp;'10_详细周计划'!D22&amp;CHAR(10)&amp;"第3周："&amp;'10_详细周计划'!D23&amp;CHAR(10)&amp;"第4周："&amp;'10_详细周计划'!D24</f>
        <v/>
      </c>
      <c r="D8" s="108">
        <f>"第1周："&amp;'10_详细周计划'!E21&amp;CHAR(10)&amp;"第2周："&amp;'10_详细周计划'!E22&amp;CHAR(10)&amp;"第3周："&amp;'10_详细周计划'!E23&amp;CHAR(10)&amp;"第4周："&amp;'10_详细周计划'!E24</f>
        <v/>
      </c>
      <c r="E8" s="108">
        <f>"第1周："&amp;'10_详细周计划'!F21&amp;CHAR(10)&amp;"第2周："&amp;'10_详细周计划'!F22&amp;CHAR(10)&amp;"第3周："&amp;'10_详细周计划'!F23&amp;CHAR(10)&amp;"第4周："&amp;'10_详细周计划'!F24</f>
        <v/>
      </c>
      <c r="F8" s="108">
        <f>"第1周："&amp;'10_详细周计划'!G21&amp;CHAR(10)&amp;"第2周："&amp;'10_详细周计划'!G22&amp;CHAR(10)&amp;"第3周："&amp;'10_详细周计划'!G23&amp;CHAR(10)&amp;"第4周："&amp;'10_详细周计划'!G24</f>
        <v/>
      </c>
      <c r="G8" s="108">
        <f>"第1周："&amp;'10_详细周计划'!H21&amp;CHAR(10)&amp;"第2周："&amp;'10_详细周计划'!H22&amp;CHAR(10)&amp;"第3周："&amp;'10_详细周计划'!H23&amp;CHAR(10)&amp;"第4周："&amp;'10_详细周计划'!H24</f>
        <v/>
      </c>
      <c r="H8" s="108">
        <f>"共"&amp;4&amp;"周；日均"&amp;ROUND(AVERAGE('10_详细周计划'!I21:I24),1)&amp;"h；周总有效学习约"&amp;ROUND(SUM('10_详细周计划'!I21:I24)*7,0)&amp;"h"</f>
        <v/>
      </c>
    </row>
    <row r="9">
      <c r="A9" s="108" t="inlineStr">
        <is>
          <t>2027-01</t>
        </is>
      </c>
      <c r="B9" s="108">
        <f>"第1周："&amp;'10_详细周计划'!C25&amp;CHAR(10)&amp;"第2周："&amp;'10_详细周计划'!C26&amp;CHAR(10)&amp;"第3周："&amp;'10_详细周计划'!C27&amp;CHAR(10)&amp;"第4周："&amp;'10_详细周计划'!C28&amp;CHAR(10)&amp;"第5周："&amp;'10_详细周计划'!C29</f>
        <v/>
      </c>
      <c r="C9" s="108">
        <f>"第1周："&amp;'10_详细周计划'!D25&amp;CHAR(10)&amp;"第2周："&amp;'10_详细周计划'!D26&amp;CHAR(10)&amp;"第3周："&amp;'10_详细周计划'!D27&amp;CHAR(10)&amp;"第4周："&amp;'10_详细周计划'!D28&amp;CHAR(10)&amp;"第5周："&amp;'10_详细周计划'!D29</f>
        <v/>
      </c>
      <c r="D9" s="108">
        <f>"第1周："&amp;'10_详细周计划'!E25&amp;CHAR(10)&amp;"第2周："&amp;'10_详细周计划'!E26&amp;CHAR(10)&amp;"第3周："&amp;'10_详细周计划'!E27&amp;CHAR(10)&amp;"第4周："&amp;'10_详细周计划'!E28&amp;CHAR(10)&amp;"第5周："&amp;'10_详细周计划'!E29</f>
        <v/>
      </c>
      <c r="E9" s="108">
        <f>"第1周："&amp;'10_详细周计划'!F25&amp;CHAR(10)&amp;"第2周："&amp;'10_详细周计划'!F26&amp;CHAR(10)&amp;"第3周："&amp;'10_详细周计划'!F27&amp;CHAR(10)&amp;"第4周："&amp;'10_详细周计划'!F28&amp;CHAR(10)&amp;"第5周："&amp;'10_详细周计划'!F29</f>
        <v/>
      </c>
      <c r="F9" s="108">
        <f>"第1周："&amp;'10_详细周计划'!G25&amp;CHAR(10)&amp;"第2周："&amp;'10_详细周计划'!G26&amp;CHAR(10)&amp;"第3周："&amp;'10_详细周计划'!G27&amp;CHAR(10)&amp;"第4周："&amp;'10_详细周计划'!G28&amp;CHAR(10)&amp;"第5周："&amp;'10_详细周计划'!G29</f>
        <v/>
      </c>
      <c r="G9" s="108">
        <f>"第1周："&amp;'10_详细周计划'!H25&amp;CHAR(10)&amp;"第2周："&amp;'10_详细周计划'!H26&amp;CHAR(10)&amp;"第3周："&amp;'10_详细周计划'!H27&amp;CHAR(10)&amp;"第4周："&amp;'10_详细周计划'!H28&amp;CHAR(10)&amp;"第5周："&amp;'10_详细周计划'!H29</f>
        <v/>
      </c>
      <c r="H9" s="108">
        <f>"共"&amp;5&amp;"周；日均"&amp;ROUND(AVERAGE('10_详细周计划'!I25:I29),1)&amp;"h；周总有效学习约"&amp;ROUND(SUM('10_详细周计划'!I25:I29)*7,0)&amp;"h"</f>
        <v/>
      </c>
    </row>
    <row r="10">
      <c r="A10" s="108" t="inlineStr">
        <is>
          <t>2027-02</t>
        </is>
      </c>
      <c r="B10" s="108">
        <f>"第1周："&amp;'10_详细周计划'!C30&amp;CHAR(10)&amp;"第2周："&amp;'10_详细周计划'!C31&amp;CHAR(10)&amp;"第3周："&amp;'10_详细周计划'!C32&amp;CHAR(10)&amp;"第4周："&amp;'10_详细周计划'!C33</f>
        <v/>
      </c>
      <c r="C10" s="108">
        <f>"第1周："&amp;'10_详细周计划'!D30&amp;CHAR(10)&amp;"第2周："&amp;'10_详细周计划'!D31&amp;CHAR(10)&amp;"第3周："&amp;'10_详细周计划'!D32&amp;CHAR(10)&amp;"第4周："&amp;'10_详细周计划'!D33</f>
        <v/>
      </c>
      <c r="D10" s="108">
        <f>"第1周："&amp;'10_详细周计划'!E30&amp;CHAR(10)&amp;"第2周："&amp;'10_详细周计划'!E31&amp;CHAR(10)&amp;"第3周："&amp;'10_详细周计划'!E32&amp;CHAR(10)&amp;"第4周："&amp;'10_详细周计划'!E33</f>
        <v/>
      </c>
      <c r="E10" s="108">
        <f>"第1周："&amp;'10_详细周计划'!F30&amp;CHAR(10)&amp;"第2周："&amp;'10_详细周计划'!F31&amp;CHAR(10)&amp;"第3周："&amp;'10_详细周计划'!F32&amp;CHAR(10)&amp;"第4周："&amp;'10_详细周计划'!F33</f>
        <v/>
      </c>
      <c r="F10" s="108">
        <f>"第1周："&amp;'10_详细周计划'!G30&amp;CHAR(10)&amp;"第2周："&amp;'10_详细周计划'!G31&amp;CHAR(10)&amp;"第3周："&amp;'10_详细周计划'!G32&amp;CHAR(10)&amp;"第4周："&amp;'10_详细周计划'!G33</f>
        <v/>
      </c>
      <c r="G10" s="108">
        <f>"第1周："&amp;'10_详细周计划'!H30&amp;CHAR(10)&amp;"第2周："&amp;'10_详细周计划'!H31&amp;CHAR(10)&amp;"第3周："&amp;'10_详细周计划'!H32&amp;CHAR(10)&amp;"第4周："&amp;'10_详细周计划'!H33</f>
        <v/>
      </c>
      <c r="H10" s="108">
        <f>"共"&amp;4&amp;"周；日均"&amp;ROUND(AVERAGE('10_详细周计划'!I30:I33),1)&amp;"h；周总有效学习约"&amp;ROUND(SUM('10_详细周计划'!I30:I33)*7,0)&amp;"h"</f>
        <v/>
      </c>
    </row>
    <row r="11">
      <c r="A11" s="108" t="inlineStr">
        <is>
          <t>2027-03</t>
        </is>
      </c>
      <c r="B11" s="108">
        <f>"第1周："&amp;'10_详细周计划'!C34&amp;CHAR(10)&amp;"第2周："&amp;'10_详细周计划'!C35&amp;CHAR(10)&amp;"第3周："&amp;'10_详细周计划'!C36&amp;CHAR(10)&amp;"第4周："&amp;'10_详细周计划'!C37</f>
        <v/>
      </c>
      <c r="C11" s="108">
        <f>"第1周："&amp;'10_详细周计划'!D34&amp;CHAR(10)&amp;"第2周："&amp;'10_详细周计划'!D35&amp;CHAR(10)&amp;"第3周："&amp;'10_详细周计划'!D36&amp;CHAR(10)&amp;"第4周："&amp;'10_详细周计划'!D37</f>
        <v/>
      </c>
      <c r="D11" s="108">
        <f>"第1周："&amp;'10_详细周计划'!E34&amp;CHAR(10)&amp;"第2周："&amp;'10_详细周计划'!E35&amp;CHAR(10)&amp;"第3周："&amp;'10_详细周计划'!E36&amp;CHAR(10)&amp;"第4周："&amp;'10_详细周计划'!E37</f>
        <v/>
      </c>
      <c r="E11" s="108">
        <f>"第1周："&amp;'10_详细周计划'!F34&amp;CHAR(10)&amp;"第2周："&amp;'10_详细周计划'!F35&amp;CHAR(10)&amp;"第3周："&amp;'10_详细周计划'!F36&amp;CHAR(10)&amp;"第4周："&amp;'10_详细周计划'!F37</f>
        <v/>
      </c>
      <c r="F11" s="108">
        <f>"第1周："&amp;'10_详细周计划'!G34&amp;CHAR(10)&amp;"第2周："&amp;'10_详细周计划'!G35&amp;CHAR(10)&amp;"第3周："&amp;'10_详细周计划'!G36&amp;CHAR(10)&amp;"第4周："&amp;'10_详细周计划'!G37</f>
        <v/>
      </c>
      <c r="G11" s="108">
        <f>"第1周："&amp;'10_详细周计划'!H34&amp;CHAR(10)&amp;"第2周："&amp;'10_详细周计划'!H35&amp;CHAR(10)&amp;"第3周："&amp;'10_详细周计划'!H36&amp;CHAR(10)&amp;"第4周："&amp;'10_详细周计划'!H37</f>
        <v/>
      </c>
      <c r="H11" s="108">
        <f>"共"&amp;4&amp;"周；日均"&amp;ROUND(AVERAGE('10_详细周计划'!I34:I37),1)&amp;"h；周总有效学习约"&amp;ROUND(SUM('10_详细周计划'!I34:I37)*7,0)&amp;"h"</f>
        <v/>
      </c>
    </row>
    <row r="12">
      <c r="A12" s="108" t="inlineStr">
        <is>
          <t>2027-04</t>
        </is>
      </c>
      <c r="B12" s="108">
        <f>"第1周："&amp;'10_详细周计划'!C38&amp;CHAR(10)&amp;"第2周："&amp;'10_详细周计划'!C39&amp;CHAR(10)&amp;"第3周："&amp;'10_详细周计划'!C40&amp;CHAR(10)&amp;"第4周："&amp;'10_详细周计划'!C41</f>
        <v/>
      </c>
      <c r="C12" s="108">
        <f>"第1周："&amp;'10_详细周计划'!D38&amp;CHAR(10)&amp;"第2周："&amp;'10_详细周计划'!D39&amp;CHAR(10)&amp;"第3周："&amp;'10_详细周计划'!D40&amp;CHAR(10)&amp;"第4周："&amp;'10_详细周计划'!D41</f>
        <v/>
      </c>
      <c r="D12" s="108">
        <f>"第1周："&amp;'10_详细周计划'!E38&amp;CHAR(10)&amp;"第2周："&amp;'10_详细周计划'!E39&amp;CHAR(10)&amp;"第3周："&amp;'10_详细周计划'!E40&amp;CHAR(10)&amp;"第4周："&amp;'10_详细周计划'!E41</f>
        <v/>
      </c>
      <c r="E12" s="108">
        <f>"第1周："&amp;'10_详细周计划'!F38&amp;CHAR(10)&amp;"第2周："&amp;'10_详细周计划'!F39&amp;CHAR(10)&amp;"第3周："&amp;'10_详细周计划'!F40&amp;CHAR(10)&amp;"第4周："&amp;'10_详细周计划'!F41</f>
        <v/>
      </c>
      <c r="F12" s="108">
        <f>"第1周："&amp;'10_详细周计划'!G38&amp;CHAR(10)&amp;"第2周："&amp;'10_详细周计划'!G39&amp;CHAR(10)&amp;"第3周："&amp;'10_详细周计划'!G40&amp;CHAR(10)&amp;"第4周："&amp;'10_详细周计划'!G41</f>
        <v/>
      </c>
      <c r="G12" s="108">
        <f>"第1周："&amp;'10_详细周计划'!H38&amp;CHAR(10)&amp;"第2周："&amp;'10_详细周计划'!H39&amp;CHAR(10)&amp;"第3周："&amp;'10_详细周计划'!H40&amp;CHAR(10)&amp;"第4周："&amp;'10_详细周计划'!H41</f>
        <v/>
      </c>
      <c r="H12" s="108">
        <f>"共"&amp;4&amp;"周；日均"&amp;ROUND(AVERAGE('10_详细周计划'!I38:I41),1)&amp;"h；周总有效学习约"&amp;ROUND(SUM('10_详细周计划'!I38:I41)*7,0)&amp;"h"</f>
        <v/>
      </c>
    </row>
    <row r="13">
      <c r="A13" s="108" t="inlineStr">
        <is>
          <t>2027-05</t>
        </is>
      </c>
      <c r="B13" s="108">
        <f>"第1周："&amp;'10_详细周计划'!C42&amp;CHAR(10)&amp;"第2周："&amp;'10_详细周计划'!C43&amp;CHAR(10)&amp;"第3周："&amp;'10_详细周计划'!C44&amp;CHAR(10)&amp;"第4周："&amp;'10_详细周计划'!C45&amp;CHAR(10)&amp;"第5周："&amp;'10_详细周计划'!C46</f>
        <v/>
      </c>
      <c r="C13" s="108">
        <f>"第1周："&amp;'10_详细周计划'!D42&amp;CHAR(10)&amp;"第2周："&amp;'10_详细周计划'!D43&amp;CHAR(10)&amp;"第3周："&amp;'10_详细周计划'!D44&amp;CHAR(10)&amp;"第4周："&amp;'10_详细周计划'!D45&amp;CHAR(10)&amp;"第5周："&amp;'10_详细周计划'!D46</f>
        <v/>
      </c>
      <c r="D13" s="108">
        <f>"第1周："&amp;'10_详细周计划'!E42&amp;CHAR(10)&amp;"第2周："&amp;'10_详细周计划'!E43&amp;CHAR(10)&amp;"第3周："&amp;'10_详细周计划'!E44&amp;CHAR(10)&amp;"第4周："&amp;'10_详细周计划'!E45&amp;CHAR(10)&amp;"第5周："&amp;'10_详细周计划'!E46</f>
        <v/>
      </c>
      <c r="E13" s="108">
        <f>"第1周："&amp;'10_详细周计划'!F42&amp;CHAR(10)&amp;"第2周："&amp;'10_详细周计划'!F43&amp;CHAR(10)&amp;"第3周："&amp;'10_详细周计划'!F44&amp;CHAR(10)&amp;"第4周："&amp;'10_详细周计划'!F45&amp;CHAR(10)&amp;"第5周："&amp;'10_详细周计划'!F46</f>
        <v/>
      </c>
      <c r="F13" s="108">
        <f>"第1周："&amp;'10_详细周计划'!G42&amp;CHAR(10)&amp;"第2周："&amp;'10_详细周计划'!G43&amp;CHAR(10)&amp;"第3周："&amp;'10_详细周计划'!G44&amp;CHAR(10)&amp;"第4周："&amp;'10_详细周计划'!G45&amp;CHAR(10)&amp;"第5周："&amp;'10_详细周计划'!G46</f>
        <v/>
      </c>
      <c r="G13" s="108">
        <f>"第1周："&amp;'10_详细周计划'!H42&amp;CHAR(10)&amp;"第2周："&amp;'10_详细周计划'!H43&amp;CHAR(10)&amp;"第3周："&amp;'10_详细周计划'!H44&amp;CHAR(10)&amp;"第4周："&amp;'10_详细周计划'!H45&amp;CHAR(10)&amp;"第5周："&amp;'10_详细周计划'!H46</f>
        <v/>
      </c>
      <c r="H13" s="108">
        <f>"共"&amp;5&amp;"周；日均"&amp;ROUND(AVERAGE('10_详细周计划'!I42:I46),1)&amp;"h；周总有效学习约"&amp;ROUND(SUM('10_详细周计划'!I42:I46)*7,0)&amp;"h"</f>
        <v/>
      </c>
    </row>
    <row r="14">
      <c r="A14" s="108" t="inlineStr">
        <is>
          <t>2027-06</t>
        </is>
      </c>
      <c r="B14" s="108">
        <f>"第1周："&amp;'10_详细周计划'!C47&amp;CHAR(10)&amp;"第2周："&amp;'10_详细周计划'!C48&amp;CHAR(10)&amp;"第3周："&amp;'10_详细周计划'!C49&amp;CHAR(10)&amp;"第4周："&amp;'10_详细周计划'!C50</f>
        <v/>
      </c>
      <c r="C14" s="108">
        <f>"第1周："&amp;'10_详细周计划'!D47&amp;CHAR(10)&amp;"第2周："&amp;'10_详细周计划'!D48&amp;CHAR(10)&amp;"第3周："&amp;'10_详细周计划'!D49&amp;CHAR(10)&amp;"第4周："&amp;'10_详细周计划'!D50</f>
        <v/>
      </c>
      <c r="D14" s="108">
        <f>"第1周："&amp;'10_详细周计划'!E47&amp;CHAR(10)&amp;"第2周："&amp;'10_详细周计划'!E48&amp;CHAR(10)&amp;"第3周："&amp;'10_详细周计划'!E49&amp;CHAR(10)&amp;"第4周："&amp;'10_详细周计划'!E50</f>
        <v/>
      </c>
      <c r="E14" s="108">
        <f>"第1周："&amp;'10_详细周计划'!F47&amp;CHAR(10)&amp;"第2周："&amp;'10_详细周计划'!F48&amp;CHAR(10)&amp;"第3周："&amp;'10_详细周计划'!F49&amp;CHAR(10)&amp;"第4周："&amp;'10_详细周计划'!F50</f>
        <v/>
      </c>
      <c r="F14" s="108">
        <f>"第1周："&amp;'10_详细周计划'!G47&amp;CHAR(10)&amp;"第2周："&amp;'10_详细周计划'!G48&amp;CHAR(10)&amp;"第3周："&amp;'10_详细周计划'!G49&amp;CHAR(10)&amp;"第4周："&amp;'10_详细周计划'!G50</f>
        <v/>
      </c>
      <c r="G14" s="108">
        <f>"第1周："&amp;'10_详细周计划'!H47&amp;CHAR(10)&amp;"第2周："&amp;'10_详细周计划'!H48&amp;CHAR(10)&amp;"第3周："&amp;'10_详细周计划'!H49&amp;CHAR(10)&amp;"第4周："&amp;'10_详细周计划'!H50</f>
        <v/>
      </c>
      <c r="H14" s="108">
        <f>"共"&amp;4&amp;"周；日均"&amp;ROUND(AVERAGE('10_详细周计划'!I47:I50),1)&amp;"h；周总有效学习约"&amp;ROUND(SUM('10_详细周计划'!I47:I50)*7,0)&amp;"h"</f>
        <v/>
      </c>
    </row>
    <row r="15">
      <c r="A15" s="108" t="inlineStr">
        <is>
          <t>2027-07</t>
        </is>
      </c>
      <c r="B15" s="108">
        <f>"第1周："&amp;'10_详细周计划'!C51&amp;CHAR(10)&amp;"第2周："&amp;'10_详细周计划'!C52&amp;CHAR(10)&amp;"第3周："&amp;'10_详细周计划'!C53&amp;CHAR(10)&amp;"第4周："&amp;'10_详细周计划'!C54</f>
        <v/>
      </c>
      <c r="C15" s="108">
        <f>"第1周："&amp;'10_详细周计划'!D51&amp;CHAR(10)&amp;"第2周："&amp;'10_详细周计划'!D52&amp;CHAR(10)&amp;"第3周："&amp;'10_详细周计划'!D53&amp;CHAR(10)&amp;"第4周："&amp;'10_详细周计划'!D54</f>
        <v/>
      </c>
      <c r="D15" s="108">
        <f>"第1周："&amp;'10_详细周计划'!E51&amp;CHAR(10)&amp;"第2周："&amp;'10_详细周计划'!E52&amp;CHAR(10)&amp;"第3周："&amp;'10_详细周计划'!E53&amp;CHAR(10)&amp;"第4周："&amp;'10_详细周计划'!E54</f>
        <v/>
      </c>
      <c r="E15" s="108">
        <f>"第1周："&amp;'10_详细周计划'!F51&amp;CHAR(10)&amp;"第2周："&amp;'10_详细周计划'!F52&amp;CHAR(10)&amp;"第3周："&amp;'10_详细周计划'!F53&amp;CHAR(10)&amp;"第4周："&amp;'10_详细周计划'!F54</f>
        <v/>
      </c>
      <c r="F15" s="108">
        <f>"第1周："&amp;'10_详细周计划'!G51&amp;CHAR(10)&amp;"第2周："&amp;'10_详细周计划'!G52&amp;CHAR(10)&amp;"第3周："&amp;'10_详细周计划'!G53&amp;CHAR(10)&amp;"第4周："&amp;'10_详细周计划'!G54</f>
        <v/>
      </c>
      <c r="G15" s="108">
        <f>"第1周："&amp;'10_详细周计划'!H51&amp;CHAR(10)&amp;"第2周："&amp;'10_详细周计划'!H52&amp;CHAR(10)&amp;"第3周："&amp;'10_详细周计划'!H53&amp;CHAR(10)&amp;"第4周："&amp;'10_详细周计划'!H54</f>
        <v/>
      </c>
      <c r="H15" s="108">
        <f>"共"&amp;4&amp;"周；日均"&amp;ROUND(AVERAGE('10_详细周计划'!I51:I54),1)&amp;"h；周总有效学习约"&amp;ROUND(SUM('10_详细周计划'!I51:I54)*7,0)&amp;"h"</f>
        <v/>
      </c>
    </row>
    <row r="16">
      <c r="A16" s="108" t="inlineStr">
        <is>
          <t>2027-08</t>
        </is>
      </c>
      <c r="B16" s="108">
        <f>"第1周："&amp;'10_详细周计划'!C55&amp;CHAR(10)&amp;"第2周："&amp;'10_详细周计划'!C56&amp;CHAR(10)&amp;"第3周："&amp;'10_详细周计划'!C57&amp;CHAR(10)&amp;"第4周："&amp;'10_详细周计划'!C58&amp;CHAR(10)&amp;"第5周："&amp;'10_详细周计划'!C59</f>
        <v/>
      </c>
      <c r="C16" s="108">
        <f>"第1周："&amp;'10_详细周计划'!D55&amp;CHAR(10)&amp;"第2周："&amp;'10_详细周计划'!D56&amp;CHAR(10)&amp;"第3周："&amp;'10_详细周计划'!D57&amp;CHAR(10)&amp;"第4周："&amp;'10_详细周计划'!D58&amp;CHAR(10)&amp;"第5周："&amp;'10_详细周计划'!D59</f>
        <v/>
      </c>
      <c r="D16" s="108">
        <f>"第1周："&amp;'10_详细周计划'!E55&amp;CHAR(10)&amp;"第2周："&amp;'10_详细周计划'!E56&amp;CHAR(10)&amp;"第3周："&amp;'10_详细周计划'!E57&amp;CHAR(10)&amp;"第4周："&amp;'10_详细周计划'!E58&amp;CHAR(10)&amp;"第5周："&amp;'10_详细周计划'!E59</f>
        <v/>
      </c>
      <c r="E16" s="108">
        <f>"第1周："&amp;'10_详细周计划'!F55&amp;CHAR(10)&amp;"第2周："&amp;'10_详细周计划'!F56&amp;CHAR(10)&amp;"第3周："&amp;'10_详细周计划'!F57&amp;CHAR(10)&amp;"第4周："&amp;'10_详细周计划'!F58&amp;CHAR(10)&amp;"第5周："&amp;'10_详细周计划'!F59</f>
        <v/>
      </c>
      <c r="F16" s="108">
        <f>"第1周："&amp;'10_详细周计划'!G55&amp;CHAR(10)&amp;"第2周："&amp;'10_详细周计划'!G56&amp;CHAR(10)&amp;"第3周："&amp;'10_详细周计划'!G57&amp;CHAR(10)&amp;"第4周："&amp;'10_详细周计划'!G58&amp;CHAR(10)&amp;"第5周："&amp;'10_详细周计划'!G59</f>
        <v/>
      </c>
      <c r="G16" s="108">
        <f>"第1周："&amp;'10_详细周计划'!H55&amp;CHAR(10)&amp;"第2周："&amp;'10_详细周计划'!H56&amp;CHAR(10)&amp;"第3周："&amp;'10_详细周计划'!H57&amp;CHAR(10)&amp;"第4周："&amp;'10_详细周计划'!H58&amp;CHAR(10)&amp;"第5周："&amp;'10_详细周计划'!H59</f>
        <v/>
      </c>
      <c r="H16" s="108">
        <f>"共"&amp;5&amp;"周；日均"&amp;ROUND(AVERAGE('10_详细周计划'!I55:I59),1)&amp;"h；周总有效学习约"&amp;ROUND(SUM('10_详细周计划'!I55:I59)*7,0)&amp;"h"</f>
        <v/>
      </c>
    </row>
    <row r="17">
      <c r="A17" s="108" t="inlineStr">
        <is>
          <t>2027-09</t>
        </is>
      </c>
      <c r="B17" s="108">
        <f>"第1周："&amp;'10_详细周计划'!C60&amp;CHAR(10)&amp;"第2周："&amp;'10_详细周计划'!C61&amp;CHAR(10)&amp;"第3周："&amp;'10_详细周计划'!C62&amp;CHAR(10)&amp;"第4周："&amp;'10_详细周计划'!C63</f>
        <v/>
      </c>
      <c r="C17" s="108">
        <f>"第1周："&amp;'10_详细周计划'!D60&amp;CHAR(10)&amp;"第2周："&amp;'10_详细周计划'!D61&amp;CHAR(10)&amp;"第3周："&amp;'10_详细周计划'!D62&amp;CHAR(10)&amp;"第4周："&amp;'10_详细周计划'!D63</f>
        <v/>
      </c>
      <c r="D17" s="108">
        <f>"第1周："&amp;'10_详细周计划'!E60&amp;CHAR(10)&amp;"第2周："&amp;'10_详细周计划'!E61&amp;CHAR(10)&amp;"第3周："&amp;'10_详细周计划'!E62&amp;CHAR(10)&amp;"第4周："&amp;'10_详细周计划'!E63</f>
        <v/>
      </c>
      <c r="E17" s="108">
        <f>"第1周："&amp;'10_详细周计划'!F60&amp;CHAR(10)&amp;"第2周："&amp;'10_详细周计划'!F61&amp;CHAR(10)&amp;"第3周："&amp;'10_详细周计划'!F62&amp;CHAR(10)&amp;"第4周："&amp;'10_详细周计划'!F63</f>
        <v/>
      </c>
      <c r="F17" s="108">
        <f>"第1周："&amp;'10_详细周计划'!G60&amp;CHAR(10)&amp;"第2周："&amp;'10_详细周计划'!G61&amp;CHAR(10)&amp;"第3周："&amp;'10_详细周计划'!G62&amp;CHAR(10)&amp;"第4周："&amp;'10_详细周计划'!G63</f>
        <v/>
      </c>
      <c r="G17" s="108">
        <f>"第1周："&amp;'10_详细周计划'!H60&amp;CHAR(10)&amp;"第2周："&amp;'10_详细周计划'!H61&amp;CHAR(10)&amp;"第3周："&amp;'10_详细周计划'!H62&amp;CHAR(10)&amp;"第4周："&amp;'10_详细周计划'!H63</f>
        <v/>
      </c>
      <c r="H17" s="108">
        <f>"共"&amp;4&amp;"周；日均"&amp;ROUND(AVERAGE('10_详细周计划'!I60:I63),1)&amp;"h；周总有效学习约"&amp;ROUND(SUM('10_详细周计划'!I60:I63)*7,0)&amp;"h"</f>
        <v/>
      </c>
    </row>
    <row r="18">
      <c r="A18" s="108" t="inlineStr">
        <is>
          <t>2027-10</t>
        </is>
      </c>
      <c r="B18" s="108">
        <f>"第1周："&amp;'10_详细周计划'!C64&amp;CHAR(10)&amp;"第2周："&amp;'10_详细周计划'!C65&amp;CHAR(10)&amp;"第3周："&amp;'10_详细周计划'!C66&amp;CHAR(10)&amp;"第4周："&amp;'10_详细周计划'!C67&amp;CHAR(10)&amp;"第5周："&amp;'10_详细周计划'!C68</f>
        <v/>
      </c>
      <c r="C18" s="108">
        <f>"第1周："&amp;'10_详细周计划'!D64&amp;CHAR(10)&amp;"第2周："&amp;'10_详细周计划'!D65&amp;CHAR(10)&amp;"第3周："&amp;'10_详细周计划'!D66&amp;CHAR(10)&amp;"第4周："&amp;'10_详细周计划'!D67&amp;CHAR(10)&amp;"第5周："&amp;'10_详细周计划'!D68</f>
        <v/>
      </c>
      <c r="D18" s="108">
        <f>"第1周："&amp;'10_详细周计划'!E64&amp;CHAR(10)&amp;"第2周："&amp;'10_详细周计划'!E65&amp;CHAR(10)&amp;"第3周："&amp;'10_详细周计划'!E66&amp;CHAR(10)&amp;"第4周："&amp;'10_详细周计划'!E67&amp;CHAR(10)&amp;"第5周："&amp;'10_详细周计划'!E68</f>
        <v/>
      </c>
      <c r="E18" s="108">
        <f>"第1周："&amp;'10_详细周计划'!F64&amp;CHAR(10)&amp;"第2周："&amp;'10_详细周计划'!F65&amp;CHAR(10)&amp;"第3周："&amp;'10_详细周计划'!F66&amp;CHAR(10)&amp;"第4周："&amp;'10_详细周计划'!F67&amp;CHAR(10)&amp;"第5周："&amp;'10_详细周计划'!F68</f>
        <v/>
      </c>
      <c r="F18" s="108">
        <f>"第1周："&amp;'10_详细周计划'!G64&amp;CHAR(10)&amp;"第2周："&amp;'10_详细周计划'!G65&amp;CHAR(10)&amp;"第3周："&amp;'10_详细周计划'!G66&amp;CHAR(10)&amp;"第4周："&amp;'10_详细周计划'!G67&amp;CHAR(10)&amp;"第5周："&amp;'10_详细周计划'!G68</f>
        <v/>
      </c>
      <c r="G18" s="108">
        <f>"第1周："&amp;'10_详细周计划'!H64&amp;CHAR(10)&amp;"第2周："&amp;'10_详细周计划'!H65&amp;CHAR(10)&amp;"第3周："&amp;'10_详细周计划'!H66&amp;CHAR(10)&amp;"第4周："&amp;'10_详细周计划'!H67&amp;CHAR(10)&amp;"第5周："&amp;'10_详细周计划'!H68</f>
        <v/>
      </c>
      <c r="H18" s="108">
        <f>"共"&amp;5&amp;"周；日均"&amp;ROUND(AVERAGE('10_详细周计划'!I64:I68),1)&amp;"h；周总有效学习约"&amp;ROUND(SUM('10_详细周计划'!I64:I68)*7,0)&amp;"h"</f>
        <v/>
      </c>
    </row>
    <row r="19">
      <c r="A19" s="108" t="inlineStr">
        <is>
          <t>2027-11</t>
        </is>
      </c>
      <c r="B19" s="108">
        <f>"第1周："&amp;'10_详细周计划'!C69&amp;CHAR(10)&amp;"第2周："&amp;'10_详细周计划'!C70&amp;CHAR(10)&amp;"第3周："&amp;'10_详细周计划'!C71&amp;CHAR(10)&amp;"第4周："&amp;'10_详细周计划'!C72</f>
        <v/>
      </c>
      <c r="C19" s="108">
        <f>"第1周："&amp;'10_详细周计划'!D69&amp;CHAR(10)&amp;"第2周："&amp;'10_详细周计划'!D70&amp;CHAR(10)&amp;"第3周："&amp;'10_详细周计划'!D71&amp;CHAR(10)&amp;"第4周："&amp;'10_详细周计划'!D72</f>
        <v/>
      </c>
      <c r="D19" s="108">
        <f>"第1周："&amp;'10_详细周计划'!E69&amp;CHAR(10)&amp;"第2周："&amp;'10_详细周计划'!E70&amp;CHAR(10)&amp;"第3周："&amp;'10_详细周计划'!E71&amp;CHAR(10)&amp;"第4周："&amp;'10_详细周计划'!E72</f>
        <v/>
      </c>
      <c r="E19" s="108">
        <f>"第1周："&amp;'10_详细周计划'!F69&amp;CHAR(10)&amp;"第2周："&amp;'10_详细周计划'!F70&amp;CHAR(10)&amp;"第3周："&amp;'10_详细周计划'!F71&amp;CHAR(10)&amp;"第4周："&amp;'10_详细周计划'!F72</f>
        <v/>
      </c>
      <c r="F19" s="108">
        <f>"第1周："&amp;'10_详细周计划'!G69&amp;CHAR(10)&amp;"第2周："&amp;'10_详细周计划'!G70&amp;CHAR(10)&amp;"第3周："&amp;'10_详细周计划'!G71&amp;CHAR(10)&amp;"第4周："&amp;'10_详细周计划'!G72</f>
        <v/>
      </c>
      <c r="G19" s="108">
        <f>"第1周："&amp;'10_详细周计划'!H69&amp;CHAR(10)&amp;"第2周："&amp;'10_详细周计划'!H70&amp;CHAR(10)&amp;"第3周："&amp;'10_详细周计划'!H71&amp;CHAR(10)&amp;"第4周："&amp;'10_详细周计划'!H72</f>
        <v/>
      </c>
      <c r="H19" s="108">
        <f>"共"&amp;4&amp;"周；日均"&amp;ROUND(AVERAGE('10_详细周计划'!I69:I72),1)&amp;"h；周总有效学习约"&amp;ROUND(SUM('10_详细周计划'!I69:I72)*7,0)&amp;"h"</f>
        <v/>
      </c>
    </row>
    <row r="20">
      <c r="A20" s="108" t="inlineStr">
        <is>
          <t>2027-12</t>
        </is>
      </c>
      <c r="B20" s="108">
        <f>"第1周："&amp;'10_详细周计划'!C73&amp;CHAR(10)&amp;"第2周："&amp;'10_详细周计划'!C74&amp;CHAR(10)&amp;"第3周："&amp;'10_详细周计划'!C75</f>
        <v/>
      </c>
      <c r="C20" s="108">
        <f>"第1周："&amp;'10_详细周计划'!D73&amp;CHAR(10)&amp;"第2周："&amp;'10_详细周计划'!D74&amp;CHAR(10)&amp;"第3周："&amp;'10_详细周计划'!D75</f>
        <v/>
      </c>
      <c r="D20" s="108">
        <f>"第1周："&amp;'10_详细周计划'!E73&amp;CHAR(10)&amp;"第2周："&amp;'10_详细周计划'!E74&amp;CHAR(10)&amp;"第3周："&amp;'10_详细周计划'!E75</f>
        <v/>
      </c>
      <c r="E20" s="108">
        <f>"第1周："&amp;'10_详细周计划'!F73&amp;CHAR(10)&amp;"第2周："&amp;'10_详细周计划'!F74&amp;CHAR(10)&amp;"第3周："&amp;'10_详细周计划'!F75</f>
        <v/>
      </c>
      <c r="F20" s="108">
        <f>"第1周："&amp;'10_详细周计划'!G73&amp;CHAR(10)&amp;"第2周："&amp;'10_详细周计划'!G74&amp;CHAR(10)&amp;"第3周："&amp;'10_详细周计划'!G75</f>
        <v/>
      </c>
      <c r="G20" s="108">
        <f>"第1周："&amp;'10_详细周计划'!H73&amp;CHAR(10)&amp;"第2周："&amp;'10_详细周计划'!H74&amp;CHAR(10)&amp;"第3周："&amp;'10_详细周计划'!H75</f>
        <v/>
      </c>
      <c r="H20" s="108">
        <f>"共"&amp;3&amp;"周；日均"&amp;ROUND(AVERAGE('10_详细周计划'!I73:I75),1)&amp;"h；周总有效学习约"&amp;ROUND(SUM('10_详细周计划'!I73:I75)*7,0)&amp;"h"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8" customWidth="1" style="87" min="1" max="1"/>
    <col width="120" customWidth="1" style="87" min="2" max="2"/>
  </cols>
  <sheetData>
    <row r="1">
      <c r="A1" s="191" t="inlineStr">
        <is>
          <t>00｜原始大纲归档（原文，不改动）</t>
        </is>
      </c>
    </row>
    <row r="2">
      <c r="A2" s="167" t="inlineStr">
        <is>
          <t>本页只存你发来的最新规划大纲原文，作为底稿与追溯依据。</t>
        </is>
      </c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</row>
    <row r="4">
      <c r="A4" s="110" t="inlineStr">
        <is>
          <t>字段</t>
        </is>
      </c>
      <c r="B4" s="110" t="inlineStr">
        <is>
          <t>内容</t>
        </is>
      </c>
      <c r="C4" s="108" t="n"/>
      <c r="D4" s="108" t="n"/>
      <c r="E4" s="108" t="n"/>
      <c r="F4" s="108" t="n"/>
      <c r="G4" s="108" t="n"/>
      <c r="H4" s="108" t="n"/>
    </row>
    <row r="5" ht="900" customHeight="1" s="87">
      <c r="A5" s="206" t="inlineStr">
        <is>
          <t>原始大纲</t>
        </is>
      </c>
      <c r="B5" s="207" t="inlineStr">
        <is>
          <t>**高数基础：**
**10月前 零基础讲义全部 核心计算讲义全部完成**
**教材张宇30讲习题（2，6，11可以先不看）1000a 可以不用开强化课，1000a要看正确率50%以上就继续，达不到就只做讲义的题，每天至少做十道错的题，不用错题本，标注就行**
**（强化理论上可以只二刷30讲全部和1000a）。**  **2027.3月前**
**线代基础和强化【一个月】：（学习期间与高数时间分配5:1） 基础张宇30讲（不额外做题）。 强化880基础篇（搭配没咋了网课）。同时期高数目标（1，二刷30讲，2二刷1000a错题 3，开高数新题660）**
				2027.4月前
**高数二次强化【一个月】 张宇强化36讲 习题1000b（ep大雪深埋网课，查漏补缺）1000b做完开高数880（同期线代二刷没咋了线代强化讲义+880综合篇 有余力1000ab（线代）或者李艳芳900）（一刷1000a正确率60以上，可以用a4大法开始【看完讲义，开始默写框架，铅笔，漏的错的用黑笔，红笔不全，一讲30分钟】A4 2.0抄写题型二级结论，易错点，（用活页夹或者圆环固定**
  **2027.7月前**
**概率论基础和强化【一个月】 听课张宇**  **9讲 强化（880基础篇）**
**2027.8月前**
**真题模拟卷阶段：两天一张 复盘07年纸质套卷开始，第一天限时完成 错误的题上真题网看解析，并加入错题本，导出pdf，或看郭伟老师喻老解析，然后看耐刷王资料，欧几里得看解析（秘密哥）**
**第二天 错的题型回归讲义和习题册，或推进新题，做专题等等**
**模拟卷要等真题20-26均分有135，可以开始真模替换，**
**合工大 李艳芳。。。。 真题和模拟卷轮流刷 同时做完880剩余内容 大雪深埋网课 查漏补缺。 2027.12月**
**英语**
开始就背单词每天50-100，三轮以上，必须完成单词复习任务 不背单词，第二轮开始每天去公众号【考研英语外刊阅读】，不认识的词要提前查，主要目的是练习翻译长难句 mmg考研英语作文占位27年初
**4月前 背单词（马天艺单词之间锐记单词（monkey））**
**买牛皮纸真题册要买两份（要二刷）**
4月到六月中 开始做英二精翻【教材：逐字逐句精翻手册或者扇贝考研】精翻内容（10-27年英二真题共72篇）
**6月中到9月 英一阅读真题（10-27年，留20 21 22的真题做最后的模拟，剩余60篇，**
**结束后开三小门：完形（易熙人老师网课，刷题）翻译：精翻加练习（柴荣老师） 新题型（刘琦老师方法论约2h）**
**9月1日 秘密哥作文模板（8月就可以开始背了，要默写，顺便练字）。用扇贝考研进行修改作文，可以开三个月vip作文准备顺序（先看图画类第一段，再看静态和动态，然后看品质类第二段，再看经济类第二段，最后看正面第三段）（3月就可以占位了）**
**10月二刷 三刷 真题套卷+背单词 模拟卷**
**12月1日 16年真题**
**12月6日 17年真题**
**12月13日18年真题**
**政治**
 **9月到10月 徐涛强化课（只听马原加史纲）【教材：徐涛，考研政治核心考察】+720刷题每天30min 线上刷题（mmg那里买） 9月后晚上听。 （大李子老师 学练闭环）**
 **10月到肖八出来前，：南山小程序模拟题**
 **11月肖8选择题**
 **12月肖4 大题加选择 （b站大牙/帕拉迪宇抄材料教程）考前一个月背主观题**
中午吃完饭回来，下午先刷30分钟 ，回宿舍路上刷一会 ，早上去图书馆路上刷一会（一日三刷，总计1h）
**专业课822**
**主旨：快速多轮，结论 题型**
3月可以淘宝芝麻研行
**4月中前结束一轮基础课加讲义加错题**
**6月前结束二轮基础：讲义加错题**
**基础强化过渡阶段（6-7） 补本习题册**
**7月开始专题强化（芝麻研行）**
**9月前1轮强化：强化一遍课本两遍240习题册**
**【开真题前，可以先扫描一份】**
**10月前2轮强化真题1-2 100习题册（可以做做其他学校的题）**
**12月前大套卷 真题 冲刺卷**
**其他任务**
**打草稿**
练习一张纸打草稿，有思路，要规整，不要跳步骤（节奏！！！），一块一块写
写完草稿就检查15-40s（一道题做两遍）
考试的时候可以再带一只红色的笔（做完全卷，重新检查计算量部分和第一遍不确定部分，用红笔重算）做完卷子就扫描保存好
检查机制
**每日复盘整理**
关注正确率，以及错误原因等等
买一些真的答题卡，进行练习
批改卷子的时候，也要扣考点练习
平时不要跳步骤
模拟的时候，时间也要对应
**错题整理**
好题可以扫描下来存档 注意分类
练习题册的标记规范：圆圈：不会
				     方框：计算错误
				     五角星：好题
				     三角形：知识点遗漏
**A4大法**
**练字：英语衡水体，政治**
字体。先练笔画，可以看要领视频，白纸写，再对应字练习，再写一句话
排版
**雅思（26年11月中）**
刷题网站：[ieltscat.xdf.cn](http://ieltscat.xdf.cn)
语法工具：grammarly，ieltswriteright，quillbot句式分析
听力阅读方法论：sun
口语写作：写作：lexi学姐
		口语：莱斯利
 目标7.0   
		听力	阅读	口语	写作	总分
题数	33-34	33-34			
分数	7.5	7.5	6.5	6.5	
第一二周：基础词汇积累 （1，听音频后朗读；2，听英文想中文；3，听英文写英文）每天背诵100个，精翻两篇阅读
第三四周：听力阅读方法论学习，作文学习框架，口语准备素材
第五到七周：刷题冲刺
第八周，准备复盘（以上计划可以扩展到十一月，十一月去考）</t>
        </is>
      </c>
      <c r="C5" s="108" t="n"/>
      <c r="D5" s="108" t="n"/>
      <c r="E5" s="108" t="n"/>
      <c r="F5" s="108" t="n"/>
      <c r="G5" s="108" t="n"/>
      <c r="H5" s="108" t="n"/>
    </row>
  </sheetData>
  <mergeCells count="2">
    <mergeCell ref="A2:H2"/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4" customWidth="1" style="87" min="1" max="1"/>
    <col width="18" customWidth="1" style="87" min="2" max="2"/>
    <col width="30" customWidth="1" style="87" min="3" max="3"/>
    <col width="24" customWidth="1" style="87" min="4" max="4"/>
    <col width="22" customWidth="1" style="87" min="5" max="5"/>
    <col width="16" customWidth="1" style="87" min="6" max="6"/>
    <col width="18" customWidth="1" style="87" min="7" max="7"/>
    <col width="26" customWidth="1" style="87" min="8" max="8"/>
  </cols>
  <sheetData>
    <row r="1">
      <c r="A1" s="191" t="inlineStr">
        <is>
          <t>12｜规划设计流程：先定边界，再分阶段，再落到月/周/日</t>
        </is>
      </c>
    </row>
    <row r="2">
      <c r="A2" s="167" t="inlineStr">
        <is>
          <t>参考共性：月/周/日三级结构、每周量化复盘、资料收口、基础方法优先。不要把计划做成素材堆，计划本身要能执行。</t>
        </is>
      </c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</row>
    <row r="4">
      <c r="A4" s="126" t="inlineStr">
        <is>
          <t>步骤</t>
        </is>
      </c>
      <c r="B4" s="127" t="inlineStr">
        <is>
          <t>目的</t>
        </is>
      </c>
      <c r="C4" s="127" t="inlineStr">
        <is>
          <t>怎么做</t>
        </is>
      </c>
      <c r="D4" s="127" t="inlineStr">
        <is>
          <t>输出物</t>
        </is>
      </c>
      <c r="E4" s="127" t="inlineStr">
        <is>
          <t>调整规则</t>
        </is>
      </c>
      <c r="F4" s="127" t="inlineStr">
        <is>
          <t>对应页</t>
        </is>
      </c>
      <c r="G4" s="127" t="inlineStr">
        <is>
          <t>风险</t>
        </is>
      </c>
      <c r="H4" s="128" t="inlineStr">
        <is>
          <t>备注</t>
        </is>
      </c>
    </row>
    <row r="5" ht="58" customHeight="1" s="87">
      <c r="A5" s="153" t="inlineStr">
        <is>
          <t>1. 锁定边界</t>
        </is>
      </c>
      <c r="B5" s="154" t="inlineStr">
        <is>
          <t>先把目标和禁区定死</t>
        </is>
      </c>
      <c r="C5" s="154" t="inlineStr">
        <is>
          <t>只认研招网/学院官网/你这份原始大纲</t>
        </is>
      </c>
      <c r="D5" s="154" t="inlineStr">
        <is>
          <t>总目标、科目、时间线</t>
        </is>
      </c>
      <c r="E5" s="154" t="inlineStr">
        <is>
          <t>官方通知更新时立即改计划</t>
        </is>
      </c>
      <c r="F5" s="154" t="inlineStr">
        <is>
          <t>01 / 00 / 09</t>
        </is>
      </c>
      <c r="G5" s="154" t="inlineStr">
        <is>
          <t>多头信息</t>
        </is>
      </c>
      <c r="H5" s="155" t="inlineStr">
        <is>
          <t>不要拿经验贴替代官网</t>
        </is>
      </c>
    </row>
    <row r="6" ht="58" customHeight="1" s="87">
      <c r="A6" s="153" t="inlineStr">
        <is>
          <t>2. 分阶段</t>
        </is>
      </c>
      <c r="B6" s="154" t="inlineStr">
        <is>
          <t>每个阶段只抓1条主线</t>
        </is>
      </c>
      <c r="C6" s="154" t="inlineStr">
        <is>
          <t>按“基础-强化-真题-冲刺”切开</t>
        </is>
      </c>
      <c r="D6" s="154" t="inlineStr">
        <is>
          <t>阶段导航页</t>
        </is>
      </c>
      <c r="E6" s="154" t="inlineStr">
        <is>
          <t>阶段切换时再加下一层任务</t>
        </is>
      </c>
      <c r="F6" s="154" t="inlineStr">
        <is>
          <t>01</t>
        </is>
      </c>
      <c r="G6" s="154" t="inlineStr">
        <is>
          <t>阶段太碎</t>
        </is>
      </c>
      <c r="H6" s="155" t="inlineStr">
        <is>
          <t>一页只回答“现在在哪一阶段”</t>
        </is>
      </c>
    </row>
    <row r="7" ht="58" customHeight="1" s="87">
      <c r="A7" s="153" t="inlineStr">
        <is>
          <t>3. 定月</t>
        </is>
      </c>
      <c r="B7" s="154" t="inlineStr">
        <is>
          <t>月度只保一个主任务</t>
        </is>
      </c>
      <c r="C7" s="154" t="inlineStr">
        <is>
          <t>每月写1句总纲，再拆到周</t>
        </is>
      </c>
      <c r="D7" s="154" t="inlineStr">
        <is>
          <t>月度主线页</t>
        </is>
      </c>
      <c r="E7" s="154" t="inlineStr">
        <is>
          <t>月中若失真，先删任务，不加内容</t>
        </is>
      </c>
      <c r="F7" s="154" t="inlineStr">
        <is>
          <t>04 / 11</t>
        </is>
      </c>
      <c r="G7" s="154" t="inlineStr">
        <is>
          <t>月计划过密</t>
        </is>
      </c>
      <c r="H7" s="155" t="inlineStr">
        <is>
          <t>月是收口，不是堆叠</t>
        </is>
      </c>
    </row>
    <row r="8" ht="58" customHeight="1" s="87">
      <c r="A8" s="153" t="inlineStr">
        <is>
          <t>4. 落周</t>
        </is>
      </c>
      <c r="B8" s="154" t="inlineStr">
        <is>
          <t>把主线变成讲次/题组/输出件</t>
        </is>
      </c>
      <c r="C8" s="154" t="inlineStr">
        <is>
          <t>每周只盯明确章节、题组、真题年份、作文篇数</t>
        </is>
      </c>
      <c r="D8" s="154" t="inlineStr">
        <is>
          <t>周阶梯</t>
        </is>
      </c>
      <c r="E8" s="154" t="inlineStr">
        <is>
          <t>周完成率&lt;70%就降载</t>
        </is>
      </c>
      <c r="F8" s="154" t="inlineStr">
        <is>
          <t>03 / 10</t>
        </is>
      </c>
      <c r="G8" s="154" t="inlineStr">
        <is>
          <t>周计划空泛</t>
        </is>
      </c>
      <c r="H8" s="155" t="inlineStr">
        <is>
          <t>周要能直接开做</t>
        </is>
      </c>
    </row>
    <row r="9" ht="58" customHeight="1" s="87">
      <c r="A9" s="153" t="inlineStr">
        <is>
          <t>5. 落日</t>
        </is>
      </c>
      <c r="B9" s="154" t="inlineStr">
        <is>
          <t>把周任务拆到固定作息</t>
        </is>
      </c>
      <c r="C9" s="154" t="inlineStr">
        <is>
          <t>固定 7:00、23:00、18:30-20:30，再分主攻块</t>
        </is>
      </c>
      <c r="D9" s="154" t="inlineStr">
        <is>
          <t>日程模板</t>
        </is>
      </c>
      <c r="E9" s="154" t="inlineStr">
        <is>
          <t>课程/考试冲突时只挪轻任务</t>
        </is>
      </c>
      <c r="F9" s="154" t="inlineStr">
        <is>
          <t>02</t>
        </is>
      </c>
      <c r="G9" s="154" t="inlineStr">
        <is>
          <t>日内拖延</t>
        </is>
      </c>
      <c r="H9" s="155" t="inlineStr">
        <is>
          <t>日内不用再重新设计</t>
        </is>
      </c>
    </row>
    <row r="10" ht="58" customHeight="1" s="87">
      <c r="A10" s="156" t="inlineStr">
        <is>
          <t>6. 复盘</t>
        </is>
      </c>
      <c r="B10" s="157" t="inlineStr">
        <is>
          <t>用结果纠偏，不用感觉纠偏</t>
        </is>
      </c>
      <c r="C10" s="157" t="inlineStr">
        <is>
          <t>看完成率、正确率、错因、欠账</t>
        </is>
      </c>
      <c r="D10" s="157" t="inlineStr">
        <is>
          <t>周复盘打卡 + 执行规则</t>
        </is>
      </c>
      <c r="E10" s="157" t="inlineStr">
        <is>
          <t>错因连续出现就回退基础</t>
        </is>
      </c>
      <c r="F10" s="157" t="inlineStr">
        <is>
          <t>06 / 07</t>
        </is>
      </c>
      <c r="G10" s="157" t="inlineStr">
        <is>
          <t>只记时长不记结果</t>
        </is>
      </c>
      <c r="H10" s="158" t="inlineStr">
        <is>
          <t>复盘要量化</t>
        </is>
      </c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</row>
    <row r="12">
      <c r="A12" s="167" t="inlineStr">
        <is>
          <t>建议：前四页只看“阶段导航 / 日程模板 / 周阶梯 / 月度规划”；详细内容去 10、11、06、07、08、09。原始大纲只用于回看来源，不用于日常执行。</t>
        </is>
      </c>
    </row>
  </sheetData>
  <mergeCells count="3">
    <mergeCell ref="A12:H12"/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2026-08-09T09:37:22Z</dcterms:created>
  <dcterms:modified xsi:type="dcterms:W3CDTF">2026-08-09T09:38:03Z</dcterms:modified>
</cp:coreProperties>
</file>